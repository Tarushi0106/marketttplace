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https://shaurryatele.sharepoint.com/sites/NaaS/Shared Documents/Partner enablement/Marketplace/Excel calculators/2.Acronis Cyber Protect Cloud/"/>
    </mc:Choice>
  </mc:AlternateContent>
  <xr:revisionPtr revIDLastSave="0" documentId="8_{CC798677-E217-4B2C-BDA8-D548E7ADE8B8}" xr6:coauthVersionLast="47" xr6:coauthVersionMax="47" xr10:uidLastSave="{00000000-0000-0000-0000-000000000000}"/>
  <bookViews>
    <workbookView xWindow="-110" yWindow="-110" windowWidth="19420" windowHeight="10300" tabRatio="353" xr2:uid="{00000000-000D-0000-FFFF-FFFF00000000}"/>
  </bookViews>
  <sheets>
    <sheet name="Acronis Backup Advanced " sheetId="1" r:id="rId1"/>
    <sheet name="Sheet1" sheetId="2" r:id="rId2"/>
  </sheets>
  <definedNames>
    <definedName name="_xlnm.Print_Area" localSheetId="0">'Acronis Backup Advanced '!$A$1:$M$120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H6" i="2"/>
  <c r="H5" i="2"/>
  <c r="F5" i="2"/>
  <c r="E25" i="2"/>
  <c r="E26" i="2" s="1"/>
  <c r="D25" i="2"/>
  <c r="F25" i="2" s="1"/>
  <c r="B25" i="2"/>
  <c r="B28" i="2" s="1"/>
  <c r="E23" i="2"/>
  <c r="E24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B27" i="2" l="1"/>
  <c r="I75" i="1"/>
  <c r="F27" i="1" l="1"/>
  <c r="I79" i="1" l="1"/>
  <c r="F79" i="1"/>
  <c r="G79" i="1" s="1"/>
  <c r="I78" i="1"/>
  <c r="I77" i="1"/>
  <c r="I76" i="1"/>
  <c r="I62" i="1"/>
  <c r="I66" i="1"/>
  <c r="I81" i="1" l="1"/>
  <c r="F62" i="1" l="1"/>
  <c r="G62" i="1" s="1"/>
  <c r="F76" i="1" l="1"/>
  <c r="G76" i="1" s="1"/>
  <c r="F78" i="1"/>
  <c r="G78" i="1" s="1"/>
  <c r="F77" i="1"/>
  <c r="G77" i="1" s="1"/>
  <c r="F75" i="1"/>
  <c r="G75" i="1" s="1"/>
  <c r="G81" i="1" l="1"/>
  <c r="F46" i="1"/>
  <c r="G46" i="1" s="1"/>
  <c r="F45" i="1"/>
  <c r="F33" i="1" l="1"/>
  <c r="G33" i="1" s="1"/>
  <c r="F32" i="1"/>
  <c r="G32" i="1" s="1"/>
  <c r="F31" i="1"/>
  <c r="G31" i="1" s="1"/>
  <c r="F69" i="1" l="1"/>
  <c r="G69" i="1" s="1"/>
  <c r="F70" i="1" l="1"/>
  <c r="G70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56" i="1"/>
  <c r="F51" i="1"/>
  <c r="F43" i="1"/>
  <c r="G43" i="1" s="1"/>
  <c r="F42" i="1"/>
  <c r="G42" i="1" s="1"/>
  <c r="F41" i="1"/>
  <c r="G41" i="1" s="1"/>
  <c r="F40" i="1"/>
  <c r="G40" i="1" s="1"/>
  <c r="F38" i="1"/>
  <c r="G38" i="1" s="1"/>
  <c r="F37" i="1"/>
  <c r="G37" i="1" s="1"/>
  <c r="F36" i="1"/>
  <c r="G36" i="1" s="1"/>
  <c r="F35" i="1"/>
  <c r="G35" i="1" s="1"/>
  <c r="F29" i="1"/>
  <c r="G29" i="1" s="1"/>
  <c r="F28" i="1"/>
  <c r="G28" i="1" s="1"/>
  <c r="G27" i="1"/>
  <c r="H27" i="1" s="1"/>
  <c r="F26" i="1"/>
  <c r="G26" i="1" s="1"/>
  <c r="F24" i="1"/>
  <c r="G24" i="1" s="1"/>
  <c r="F23" i="1"/>
  <c r="G23" i="1" s="1"/>
  <c r="F22" i="1"/>
  <c r="G22" i="1" s="1"/>
  <c r="F21" i="1"/>
  <c r="G21" i="1" s="1"/>
  <c r="F19" i="1"/>
  <c r="G19" i="1" s="1"/>
  <c r="F18" i="1"/>
  <c r="G18" i="1" s="1"/>
  <c r="F17" i="1"/>
  <c r="G17" i="1" s="1"/>
  <c r="H17" i="1" s="1"/>
  <c r="F16" i="1"/>
  <c r="G16" i="1" s="1"/>
  <c r="G56" i="1" l="1"/>
  <c r="G58" i="1" s="1"/>
  <c r="I58" i="1"/>
  <c r="G51" i="1"/>
  <c r="G53" i="1" s="1"/>
  <c r="I51" i="1"/>
  <c r="I53" i="1" s="1"/>
  <c r="G72" i="1"/>
  <c r="G48" i="1"/>
  <c r="I63" i="1"/>
  <c r="G83" i="1" l="1"/>
  <c r="G85" i="1" s="1"/>
  <c r="G86" i="1" s="1"/>
  <c r="I70" i="1"/>
  <c r="I69" i="1"/>
  <c r="I68" i="1"/>
  <c r="I67" i="1"/>
  <c r="I65" i="1"/>
  <c r="I64" i="1"/>
  <c r="I72" i="1" l="1"/>
  <c r="I45" i="1"/>
  <c r="I48" i="1" l="1"/>
  <c r="I86" i="1" l="1"/>
</calcChain>
</file>

<file path=xl/sharedStrings.xml><?xml version="1.0" encoding="utf-8"?>
<sst xmlns="http://schemas.openxmlformats.org/spreadsheetml/2006/main" count="258" uniqueCount="157">
  <si>
    <t>XcellHost Cloud Services Pvt Ltd.</t>
  </si>
  <si>
    <t>209, Laxmi Plaza, Bldg. No. 9,Laxmi Industrial Estate, Andheri (W), Mumbai - 400053 </t>
  </si>
  <si>
    <t>Tel:  +91-22-6711Advanced55</t>
  </si>
  <si>
    <t>Website :  http://www.xcellhost.cloud   Email : sales@xcellhost.cloud</t>
  </si>
  <si>
    <t>End Customer Details</t>
  </si>
  <si>
    <t>Partner Details</t>
  </si>
  <si>
    <t>XcellHost Sales Team</t>
  </si>
  <si>
    <t>Currency Calculator</t>
  </si>
  <si>
    <t xml:space="preserve">Company Name :  </t>
  </si>
  <si>
    <t xml:space="preserve">Company Name : </t>
  </si>
  <si>
    <t xml:space="preserve">Sales Rep :  Mr. </t>
  </si>
  <si>
    <t>Base Currency Unit</t>
  </si>
  <si>
    <t>USD</t>
  </si>
  <si>
    <t xml:space="preserve">Contact Person  : </t>
  </si>
  <si>
    <t>Contact Person  :  Mr. Rajeev</t>
  </si>
  <si>
    <t>Pre-Sales :   Mr.</t>
  </si>
  <si>
    <t>Quote Currency  Unit</t>
  </si>
  <si>
    <t>INR</t>
  </si>
  <si>
    <t>Phone No :  +91</t>
  </si>
  <si>
    <t>Quote Date :  04-05-2022</t>
  </si>
  <si>
    <t>Currency Exchange Rate</t>
  </si>
  <si>
    <t xml:space="preserve">Email : </t>
  </si>
  <si>
    <t>Quotation No : XLIN/CP/ABA/2022</t>
  </si>
  <si>
    <t>Partner Margin</t>
  </si>
  <si>
    <t xml:space="preserve">Website :  </t>
  </si>
  <si>
    <t xml:space="preserve">XcellBackup | Acronis Advanced Backup Subscription Licenses </t>
  </si>
  <si>
    <t>Item Description</t>
  </si>
  <si>
    <t>Unit</t>
  </si>
  <si>
    <t>Qty</t>
  </si>
  <si>
    <t>$</t>
  </si>
  <si>
    <t>Unit Price</t>
  </si>
  <si>
    <t>Annually Amount</t>
  </si>
  <si>
    <t>Total 
Amount</t>
  </si>
  <si>
    <t>Setup 
Charges</t>
  </si>
  <si>
    <t>Comments</t>
  </si>
  <si>
    <t>Acronis  Advanced Backup Software Subscription Licenses [ A ]</t>
  </si>
  <si>
    <t>Acronis Cyber Protect Advanced Backup  - Workstation (Monthly)  with Active Protection</t>
  </si>
  <si>
    <t>per device</t>
  </si>
  <si>
    <t>-</t>
  </si>
  <si>
    <t>Acronis Advanced Backup - Workstation (1 Year Subscription) with Active Protection</t>
  </si>
  <si>
    <t>Acronis Cyber Protect Advanced Backup  - Workstation (2 Year Subscription) with Active Protection</t>
  </si>
  <si>
    <t>Acronis Cyber Protect Advanced Backup  - Workstation (3 Year Subscription) with Active Protection</t>
  </si>
  <si>
    <t>Acronis Cyber Protect Advanced Backup - VM (Monthly) with Active Protection</t>
  </si>
  <si>
    <t>per VM</t>
  </si>
  <si>
    <t>Acronis Advanced Backup - VM (1 Year Subscription) with Active Protection</t>
  </si>
  <si>
    <t>Acronis Cyber Protect Advanced Backup  - VM (2 Year Subscription) with Active Protection</t>
  </si>
  <si>
    <t>Acronis Cyber Protect Advanced Backup  - VM (3 Year Subscription) with Active Protection</t>
  </si>
  <si>
    <t>Acronis Cyber Protect Advanced Backup  - Server (Monthly) with Active Protection</t>
  </si>
  <si>
    <t>per server</t>
  </si>
  <si>
    <t>Acronis Advanced Backup - Server (1 Year Subscription) with Active Protection</t>
  </si>
  <si>
    <t>Acronis Cyber Protect Advanced Backup  - Server (2 Year Subscription) with Active Protection</t>
  </si>
  <si>
    <t>Acronis Cyber Protect Advanced Backup  - Server (3 Year Subscription) with Active Protection</t>
  </si>
  <si>
    <t>Acronis Cyber Protect Advanced Backup  - Virtual Host (1 Year Subscription) with Active Protection</t>
  </si>
  <si>
    <t>per virtual host</t>
  </si>
  <si>
    <t>Acronis Cyber Protect Advanced Backup  - Virtual Host (2 Year Subscription) with Active Protection</t>
  </si>
  <si>
    <t>Acronis Cyber Protect Advanced Backup  - Virtual Host (3 Year Subscription) with Active Protection</t>
  </si>
  <si>
    <t>Acronis Cyber Protect Advanced Backup  - Office 365 Mailbox (Monthly)</t>
  </si>
  <si>
    <t>per mailbox</t>
  </si>
  <si>
    <t>Acronis Cyber Protect Advanced Backup  - Office 365 Mailbox (1 Year Subscription)</t>
  </si>
  <si>
    <t>Acronis Cyber Protect Advanced Backup  - Office 365 Mailbox (2 Year Subscription)</t>
  </si>
  <si>
    <t>Acronis Cyber Protect Advanced Backup  - Office 365 Mailbox (3 Year Subscription)</t>
  </si>
  <si>
    <t>Acronis Cyber Protect Advanced Backup  - Mobile Device (Monthly)</t>
  </si>
  <si>
    <t>Acronis Cyber Protect Advanced Backup  - Mobile Device (1 Year Subscription)</t>
  </si>
  <si>
    <t>Acronis Cyber Protect Advanced Backup  - Mobile Device (2 Year Subscription)</t>
  </si>
  <si>
    <t>Acronis Cyber Protect Advanced Backup  - Mobile Device (3 Year Subscription)</t>
  </si>
  <si>
    <t>Backup Server Setup (addon)</t>
  </si>
  <si>
    <t>per install</t>
  </si>
  <si>
    <t>Backup NAS Setup(addon)</t>
  </si>
  <si>
    <t>Customer Total Amount for Subscription Licenses  [A]</t>
  </si>
  <si>
    <t>Rate</t>
  </si>
  <si>
    <t>Monthly Amount</t>
  </si>
  <si>
    <t>Windows 2019 Standard Edition for Backup Server (main and addon)</t>
  </si>
  <si>
    <t>per 2 core</t>
  </si>
  <si>
    <t>Customer Total Amount for Windows Subscription License [B]</t>
  </si>
  <si>
    <t>Backup Cloud Storage (main and addon)</t>
  </si>
  <si>
    <t>per TB</t>
  </si>
  <si>
    <t>Customer Total  Amount for Cloud Storage [A]</t>
  </si>
  <si>
    <t>On Premise Backup Applicances</t>
  </si>
  <si>
    <t>E1000     - 1 TB Backup Storage on (1 TB x 2 on RAID 1 | 32 GB RAM | 1 U | Single Processor)</t>
  </si>
  <si>
    <t>AD Server</t>
  </si>
  <si>
    <t>E4000     - 4 TB Backup Storage on (2 TB x 3 on RAID 5 | 32 GB RAM | 1 U | Single Processor)</t>
  </si>
  <si>
    <t>E6000      - 6 TB Backup Storage on (3 TB x 3 on RAID 5 | 48 GB RAM | 1 U | Single Processor)</t>
  </si>
  <si>
    <t>E12000  - 12 TB Backup Storage on (4 TB x 4 on RAID 5 | 64 GB RAM | 1 U |Single Processor)</t>
  </si>
  <si>
    <t>E18000  - 18 TB Backup Storage on (3 TB x 12 on RAID 6 | 64 GB RAM | 2 U | Dual Processor)</t>
  </si>
  <si>
    <t>Head Office Server + Trade Center Server</t>
  </si>
  <si>
    <t>E24000  - 24 TB Backup Storage on (3 TB x 10 on RAID 6 | 64 GB RAM | 2 U | Dual Processor)</t>
  </si>
  <si>
    <t>E36000  - 36 TB Backup Storage on (4 TB x 11 on RAID 6 | 96 GB RAM | 2 U | Dual Processor)</t>
  </si>
  <si>
    <t>E36000  - 48 TB Backup Storage on (6 TB x 10 on RAID 6 | 128 GB RAM | 2 U | Dual Processor)</t>
  </si>
  <si>
    <t>E36000  - 60 TB Backup Storage on (6 TB x 12 on RAID 6 | 128 GB RAM | 2 U | Dual Processor)</t>
  </si>
  <si>
    <t>Customer Total Amount for Backup Appliance [D]</t>
  </si>
  <si>
    <t>Managed Backup Services - Cloud Storage (addon)</t>
  </si>
  <si>
    <t>Managed Backup Services - per Virtual Host</t>
  </si>
  <si>
    <t>Managed Backup Services - per Server/ Virtual Machine</t>
  </si>
  <si>
    <t>Managed Backup Services - per Workstation</t>
  </si>
  <si>
    <t>Managed Backup Services - per Office 365</t>
  </si>
  <si>
    <t>Customer Total Amount for Managed Services [B]</t>
  </si>
  <si>
    <t>Customer Annually Total [A]+ [B]</t>
  </si>
  <si>
    <t>Enter Billing Frequency</t>
  </si>
  <si>
    <t>Total Customer Bill Amount</t>
  </si>
  <si>
    <t>Total Partner Transfer Amount</t>
  </si>
  <si>
    <t>plus applicable taxes</t>
  </si>
  <si>
    <t>System Requirements</t>
  </si>
  <si>
    <t>1. Windows Or Linux  Physical Server required for installation of Acronis Backup Advanced Management Server in Customer On-Premise Location as per recommended Backup Sizing</t>
  </si>
  <si>
    <r>
      <t xml:space="preserve">2. </t>
    </r>
    <r>
      <rPr>
        <b/>
        <sz val="12"/>
        <rFont val="Calibri"/>
        <family val="2"/>
        <scheme val="minor"/>
      </rPr>
      <t>Storage Gateway for Azure</t>
    </r>
    <r>
      <rPr>
        <sz val="12"/>
        <rFont val="Calibri"/>
        <family val="2"/>
        <scheme val="minor"/>
      </rPr>
      <t xml:space="preserve"> : 4 vCPU , 4 GB RAM OR More, 100 GB Disk Space, CentOS 7 x86_64 Virtual Machine + Azure Blob Storage (As per Backup Storage Sizing)</t>
    </r>
  </si>
  <si>
    <r>
      <t xml:space="preserve">3. </t>
    </r>
    <r>
      <rPr>
        <b/>
        <sz val="12"/>
        <rFont val="Calibri"/>
        <family val="2"/>
        <scheme val="minor"/>
      </rPr>
      <t>Storage Gateway for AWS</t>
    </r>
    <r>
      <rPr>
        <sz val="12"/>
        <rFont val="Calibri"/>
        <family val="2"/>
        <scheme val="minor"/>
      </rPr>
      <t xml:space="preserve"> : 4 vCPU , 4 GB RAM OR More, 100 GB Disk Space, CentOS 7 x86_64 Virtual Machine + S3 Storage (As per Backup Storage Sizing)</t>
    </r>
  </si>
  <si>
    <t>Contract Terms &amp; Conditions</t>
  </si>
  <si>
    <t>a. Advance Payment with One Time Setup Charges.</t>
  </si>
  <si>
    <t>b. 30 days Advanced Termination Notice required upon completion subscription term.</t>
  </si>
  <si>
    <t>c. Delivery :  Within 2 working days from PO + Advance Payment Receipt</t>
  </si>
  <si>
    <t>d. Billing Details : Order to be Favour of  XcellHost Cloud Services Pvt Ltd.</t>
  </si>
  <si>
    <t>e.  Quote Validity : 1 week</t>
  </si>
  <si>
    <t>f.  Overage Billing will be billed as actuals</t>
  </si>
  <si>
    <r>
      <t xml:space="preserve">g. plus 18% Good &amp; Services Tax (GST) applicable on above.  </t>
    </r>
    <r>
      <rPr>
        <sz val="12"/>
        <color rgb="FFFF0000"/>
        <rFont val="Calibri"/>
        <family val="2"/>
        <scheme val="minor"/>
      </rPr>
      <t>No TDS to be deducted on Software Licenses</t>
    </r>
  </si>
  <si>
    <t>h.  Once Invoice is raised,  it will not be cancelled as per GST rules. In case of any changes, a credit note/debit note will be raised for the same.</t>
  </si>
  <si>
    <t>Managed Backup Service Deliverables</t>
  </si>
  <si>
    <t>Creating Backup Plan [Frequency of Backup, What to Backup, Restoration Plan]</t>
  </si>
  <si>
    <t>Backup Plan Review [Speed of Backup &amp; Restoration, Mock Restore, Backup Integrity Checks]</t>
  </si>
  <si>
    <t>Assess &amp; Define Comprehensive Backup &amp; Recovery Plan</t>
  </si>
  <si>
    <t>Integrate Backup Plan into Overall Managed Hosting Plan</t>
  </si>
  <si>
    <t>Minimize impact of backup activities</t>
  </si>
  <si>
    <t>Segregate Backup Activity on a Separate Backup Network</t>
  </si>
  <si>
    <t>Define Backup Retention Periods &amp; Encryption Standards</t>
  </si>
  <si>
    <t>Design Optional Application Specific Backup Strategies</t>
  </si>
  <si>
    <t>Complete Backup System Verification</t>
  </si>
  <si>
    <t>Verify completion of each backup session</t>
  </si>
  <si>
    <t>Provide Optional Test Recovery Strategies</t>
  </si>
  <si>
    <t>Schedule Regular Backup during off peak hours</t>
  </si>
  <si>
    <t>Aggregate Backup Usage</t>
  </si>
  <si>
    <t>Determine Impending Backup Limit Alerts</t>
  </si>
  <si>
    <t>Evaluate Backup Usage Trends</t>
  </si>
  <si>
    <t>Apply Scalability foresight to anticipate backup capacity needs</t>
  </si>
  <si>
    <t xml:space="preserve">Our Price </t>
  </si>
  <si>
    <t xml:space="preserve">Domain Name </t>
  </si>
  <si>
    <t>1 Yr</t>
  </si>
  <si>
    <t>3 Yr</t>
  </si>
  <si>
    <t>10 Yr</t>
  </si>
  <si>
    <t>sbicap.biz </t>
  </si>
  <si>
    <t>sbicaps.biz</t>
  </si>
  <si>
    <t>sbicaps.in </t>
  </si>
  <si>
    <t>sbicaps.co.in </t>
  </si>
  <si>
    <t>sbicaps.ind.in </t>
  </si>
  <si>
    <t>sbicaps.net</t>
  </si>
  <si>
    <t>sbicaps.net.in </t>
  </si>
  <si>
    <t>sbicaps.info </t>
  </si>
  <si>
    <t>sbicaps.org.in </t>
  </si>
  <si>
    <t>sbicap.net</t>
  </si>
  <si>
    <t>sbicaps.org</t>
  </si>
  <si>
    <t>sbicap.org </t>
  </si>
  <si>
    <t>sbicap.ind.in </t>
  </si>
  <si>
    <t>sbicap.info </t>
  </si>
  <si>
    <t>sbicap.org.in </t>
  </si>
  <si>
    <t>sbicap.co.in </t>
  </si>
  <si>
    <t>sbicap.net.in </t>
  </si>
  <si>
    <t>sbicap.in </t>
  </si>
  <si>
    <t>sbicap.us</t>
  </si>
  <si>
    <t>sbicaps.us 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</si>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</sst>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_ ;_ [$₹-4009]\ * \-#,##0_ ;_ [$₹-4009]\ * &quot;-&quot;??_ ;_ @_ 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 tint="-0.34998626667073579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mbria"/>
      <family val="1"/>
    </font>
    <font>
      <sz val="9"/>
      <name val="Cambria"/>
      <family val="1"/>
    </font>
    <font>
      <b/>
      <sz val="9"/>
      <color theme="1"/>
      <name val="Cambria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u/>
      <sz val="14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 applyNumberForma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0" xfId="0" applyFont="1"/>
    <xf numFmtId="0" fontId="1" fillId="0" borderId="0" xfId="0" applyFont="1"/>
    <xf numFmtId="43" fontId="4" fillId="0" borderId="22" xfId="1" applyFont="1" applyBorder="1" applyAlignment="1">
      <alignment horizontal="center" vertical="center"/>
    </xf>
    <xf numFmtId="0" fontId="4" fillId="0" borderId="22" xfId="1" applyNumberFormat="1" applyFont="1" applyBorder="1" applyAlignment="1">
      <alignment horizontal="center" vertical="center"/>
    </xf>
    <xf numFmtId="0" fontId="12" fillId="0" borderId="29" xfId="0" applyFont="1" applyBorder="1"/>
    <xf numFmtId="0" fontId="13" fillId="0" borderId="30" xfId="0" applyFont="1" applyBorder="1"/>
    <xf numFmtId="0" fontId="13" fillId="0" borderId="30" xfId="0" applyFont="1" applyBorder="1" applyAlignment="1">
      <alignment wrapText="1"/>
    </xf>
    <xf numFmtId="0" fontId="13" fillId="0" borderId="31" xfId="0" applyFont="1" applyBorder="1"/>
    <xf numFmtId="0" fontId="14" fillId="0" borderId="33" xfId="0" applyFont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15" fillId="0" borderId="0" xfId="0" applyFont="1"/>
    <xf numFmtId="9" fontId="5" fillId="0" borderId="22" xfId="1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4" borderId="9" xfId="0" applyFill="1" applyBorder="1" applyAlignment="1">
      <alignment horizontal="center" vertical="center"/>
    </xf>
    <xf numFmtId="0" fontId="17" fillId="4" borderId="48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8" fillId="0" borderId="21" xfId="4" applyFont="1" applyBorder="1" applyAlignment="1">
      <alignment horizontal="center" vertical="center"/>
    </xf>
    <xf numFmtId="0" fontId="18" fillId="6" borderId="21" xfId="4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25" fillId="0" borderId="2" xfId="2" applyFont="1" applyBorder="1"/>
    <xf numFmtId="0" fontId="25" fillId="0" borderId="1" xfId="2" applyFont="1" applyBorder="1"/>
    <xf numFmtId="1" fontId="25" fillId="0" borderId="1" xfId="2" applyNumberFormat="1" applyFont="1" applyBorder="1"/>
    <xf numFmtId="1" fontId="25" fillId="0" borderId="1" xfId="2" applyNumberFormat="1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3" fillId="0" borderId="9" xfId="3" applyFont="1" applyBorder="1" applyAlignment="1">
      <alignment vertical="center"/>
    </xf>
    <xf numFmtId="0" fontId="23" fillId="0" borderId="8" xfId="3" applyFont="1" applyBorder="1" applyAlignment="1">
      <alignment vertical="center"/>
    </xf>
    <xf numFmtId="0" fontId="23" fillId="0" borderId="7" xfId="3" applyFont="1" applyBorder="1" applyAlignment="1">
      <alignment horizontal="left" vertical="center"/>
    </xf>
    <xf numFmtId="0" fontId="21" fillId="0" borderId="6" xfId="2" applyFont="1" applyBorder="1" applyAlignment="1">
      <alignment vertical="center"/>
    </xf>
    <xf numFmtId="0" fontId="21" fillId="0" borderId="5" xfId="2" applyFont="1" applyBorder="1" applyAlignment="1">
      <alignment vertical="center"/>
    </xf>
    <xf numFmtId="0" fontId="21" fillId="0" borderId="4" xfId="2" applyFont="1" applyBorder="1" applyAlignment="1">
      <alignment vertical="center"/>
    </xf>
    <xf numFmtId="0" fontId="21" fillId="0" borderId="2" xfId="2" applyFont="1" applyBorder="1" applyAlignment="1">
      <alignment horizontal="left" vertical="center"/>
    </xf>
    <xf numFmtId="0" fontId="21" fillId="0" borderId="1" xfId="2" applyFont="1" applyBorder="1" applyAlignment="1">
      <alignment horizontal="left" vertical="center"/>
    </xf>
    <xf numFmtId="0" fontId="21" fillId="0" borderId="16" xfId="2" applyFont="1" applyBorder="1" applyAlignment="1">
      <alignment horizontal="left" vertical="center"/>
    </xf>
    <xf numFmtId="0" fontId="29" fillId="2" borderId="28" xfId="2" applyFont="1" applyFill="1" applyBorder="1" applyAlignment="1">
      <alignment horizontal="center" vertical="center" wrapText="1"/>
    </xf>
    <xf numFmtId="0" fontId="30" fillId="0" borderId="10" xfId="3" applyFont="1" applyBorder="1" applyAlignment="1">
      <alignment vertical="center"/>
    </xf>
    <xf numFmtId="0" fontId="30" fillId="0" borderId="17" xfId="3" applyFont="1" applyBorder="1" applyAlignment="1">
      <alignment vertical="center"/>
    </xf>
    <xf numFmtId="0" fontId="31" fillId="0" borderId="34" xfId="0" applyFont="1" applyBorder="1" applyAlignment="1">
      <alignment horizontal="center"/>
    </xf>
    <xf numFmtId="0" fontId="32" fillId="0" borderId="18" xfId="2" applyFont="1" applyBorder="1" applyAlignment="1">
      <alignment horizontal="center" vertical="center"/>
    </xf>
    <xf numFmtId="2" fontId="32" fillId="0" borderId="18" xfId="2" applyNumberFormat="1" applyFont="1" applyBorder="1" applyAlignment="1">
      <alignment horizontal="center" vertical="center"/>
    </xf>
    <xf numFmtId="1" fontId="32" fillId="0" borderId="18" xfId="2" applyNumberFormat="1" applyFont="1" applyBorder="1" applyAlignment="1">
      <alignment horizontal="center"/>
    </xf>
    <xf numFmtId="2" fontId="30" fillId="0" borderId="10" xfId="3" applyNumberFormat="1" applyFont="1" applyBorder="1" applyAlignment="1">
      <alignment vertical="center"/>
    </xf>
    <xf numFmtId="164" fontId="30" fillId="0" borderId="10" xfId="3" applyNumberFormat="1" applyFont="1" applyBorder="1" applyAlignment="1">
      <alignment vertical="center"/>
    </xf>
    <xf numFmtId="164" fontId="30" fillId="0" borderId="17" xfId="3" applyNumberFormat="1" applyFont="1" applyBorder="1" applyAlignment="1">
      <alignment vertical="center"/>
    </xf>
    <xf numFmtId="1" fontId="32" fillId="0" borderId="18" xfId="2" applyNumberFormat="1" applyFont="1" applyBorder="1" applyAlignment="1">
      <alignment horizontal="center" vertical="center"/>
    </xf>
    <xf numFmtId="1" fontId="30" fillId="0" borderId="10" xfId="3" applyNumberFormat="1" applyFont="1" applyBorder="1" applyAlignment="1">
      <alignment vertical="center"/>
    </xf>
    <xf numFmtId="1" fontId="30" fillId="0" borderId="17" xfId="3" applyNumberFormat="1" applyFont="1" applyBorder="1" applyAlignment="1">
      <alignment vertical="center"/>
    </xf>
    <xf numFmtId="0" fontId="29" fillId="0" borderId="13" xfId="2" applyFont="1" applyBorder="1" applyAlignment="1">
      <alignment horizontal="left" vertical="center"/>
    </xf>
    <xf numFmtId="0" fontId="29" fillId="0" borderId="14" xfId="2" applyFont="1" applyBorder="1" applyAlignment="1">
      <alignment horizontal="left" vertical="center"/>
    </xf>
    <xf numFmtId="1" fontId="32" fillId="0" borderId="10" xfId="2" applyNumberFormat="1" applyFont="1" applyBorder="1" applyAlignment="1">
      <alignment horizontal="center"/>
    </xf>
    <xf numFmtId="0" fontId="12" fillId="0" borderId="38" xfId="2" applyFont="1" applyBorder="1" applyAlignment="1">
      <alignment vertical="center"/>
    </xf>
    <xf numFmtId="1" fontId="12" fillId="0" borderId="27" xfId="2" applyNumberFormat="1" applyFont="1" applyBorder="1" applyAlignment="1">
      <alignment vertical="center"/>
    </xf>
    <xf numFmtId="1" fontId="12" fillId="0" borderId="27" xfId="2" applyNumberFormat="1" applyFont="1" applyBorder="1" applyAlignment="1">
      <alignment horizontal="center" vertical="center"/>
    </xf>
    <xf numFmtId="1" fontId="12" fillId="0" borderId="38" xfId="2" applyNumberFormat="1" applyFont="1" applyBorder="1" applyAlignment="1">
      <alignment horizontal="center" vertical="center"/>
    </xf>
    <xf numFmtId="1" fontId="12" fillId="0" borderId="42" xfId="2" applyNumberFormat="1" applyFont="1" applyBorder="1" applyAlignment="1">
      <alignment horizontal="center" vertical="center"/>
    </xf>
    <xf numFmtId="1" fontId="29" fillId="2" borderId="28" xfId="2" applyNumberFormat="1" applyFont="1" applyFill="1" applyBorder="1" applyAlignment="1">
      <alignment horizontal="center" vertical="center" wrapText="1"/>
    </xf>
    <xf numFmtId="0" fontId="32" fillId="0" borderId="18" xfId="2" applyFont="1" applyBorder="1" applyAlignment="1">
      <alignment horizontal="center"/>
    </xf>
    <xf numFmtId="1" fontId="30" fillId="0" borderId="10" xfId="3" applyNumberFormat="1" applyFont="1" applyBorder="1" applyAlignment="1">
      <alignment horizontal="center" vertical="center"/>
    </xf>
    <xf numFmtId="0" fontId="30" fillId="0" borderId="12" xfId="3" applyFont="1" applyBorder="1" applyAlignment="1">
      <alignment vertical="center"/>
    </xf>
    <xf numFmtId="1" fontId="30" fillId="0" borderId="12" xfId="3" applyNumberFormat="1" applyFont="1" applyBorder="1" applyAlignment="1">
      <alignment vertical="center"/>
    </xf>
    <xf numFmtId="1" fontId="30" fillId="0" borderId="12" xfId="3" applyNumberFormat="1" applyFont="1" applyBorder="1" applyAlignment="1">
      <alignment horizontal="center" vertical="center"/>
    </xf>
    <xf numFmtId="1" fontId="30" fillId="0" borderId="43" xfId="3" applyNumberFormat="1" applyFont="1" applyBorder="1" applyAlignment="1">
      <alignment vertical="center"/>
    </xf>
    <xf numFmtId="0" fontId="34" fillId="0" borderId="10" xfId="2" applyFont="1" applyBorder="1" applyAlignment="1">
      <alignment vertical="center" wrapText="1"/>
    </xf>
    <xf numFmtId="1" fontId="34" fillId="0" borderId="10" xfId="2" applyNumberFormat="1" applyFont="1" applyBorder="1" applyAlignment="1">
      <alignment vertical="center" wrapText="1"/>
    </xf>
    <xf numFmtId="1" fontId="34" fillId="0" borderId="10" xfId="2" applyNumberFormat="1" applyFont="1" applyBorder="1" applyAlignment="1">
      <alignment horizontal="center" vertical="center" wrapText="1"/>
    </xf>
    <xf numFmtId="1" fontId="34" fillId="0" borderId="17" xfId="2" applyNumberFormat="1" applyFont="1" applyBorder="1" applyAlignment="1">
      <alignment vertical="center" wrapText="1"/>
    </xf>
    <xf numFmtId="0" fontId="32" fillId="0" borderId="25" xfId="2" applyFont="1" applyBorder="1" applyAlignment="1">
      <alignment horizontal="center"/>
    </xf>
    <xf numFmtId="0" fontId="31" fillId="0" borderId="34" xfId="0" applyFont="1" applyBorder="1" applyAlignment="1">
      <alignment horizontal="left"/>
    </xf>
    <xf numFmtId="0" fontId="30" fillId="0" borderId="13" xfId="3" applyFont="1" applyBorder="1" applyAlignment="1">
      <alignment vertical="center"/>
    </xf>
    <xf numFmtId="0" fontId="32" fillId="0" borderId="25" xfId="2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/>
    </xf>
    <xf numFmtId="0" fontId="30" fillId="0" borderId="40" xfId="3" applyFont="1" applyBorder="1" applyAlignment="1">
      <alignment vertical="center"/>
    </xf>
    <xf numFmtId="0" fontId="30" fillId="0" borderId="11" xfId="3" applyFont="1" applyBorder="1" applyAlignment="1">
      <alignment vertical="center"/>
    </xf>
    <xf numFmtId="1" fontId="30" fillId="0" borderId="11" xfId="3" applyNumberFormat="1" applyFont="1" applyBorder="1" applyAlignment="1">
      <alignment vertical="center"/>
    </xf>
    <xf numFmtId="1" fontId="30" fillId="0" borderId="11" xfId="3" applyNumberFormat="1" applyFont="1" applyBorder="1" applyAlignment="1">
      <alignment horizontal="center" vertical="center"/>
    </xf>
    <xf numFmtId="1" fontId="30" fillId="0" borderId="41" xfId="3" applyNumberFormat="1" applyFont="1" applyBorder="1" applyAlignment="1">
      <alignment vertical="center"/>
    </xf>
    <xf numFmtId="0" fontId="12" fillId="0" borderId="39" xfId="2" applyFont="1" applyBorder="1" applyAlignment="1">
      <alignment vertical="center"/>
    </xf>
    <xf numFmtId="0" fontId="31" fillId="0" borderId="15" xfId="0" applyFont="1" applyBorder="1" applyAlignment="1">
      <alignment horizontal="center"/>
    </xf>
    <xf numFmtId="0" fontId="12" fillId="0" borderId="0" xfId="2" applyFont="1" applyAlignment="1">
      <alignment vertical="center"/>
    </xf>
    <xf numFmtId="1" fontId="12" fillId="0" borderId="0" xfId="2" applyNumberFormat="1" applyFont="1" applyAlignment="1">
      <alignment vertical="center"/>
    </xf>
    <xf numFmtId="1" fontId="12" fillId="0" borderId="0" xfId="2" applyNumberFormat="1" applyFont="1" applyAlignment="1">
      <alignment horizontal="center" vertical="center"/>
    </xf>
    <xf numFmtId="0" fontId="12" fillId="0" borderId="10" xfId="2" applyFont="1" applyBorder="1" applyAlignment="1">
      <alignment vertical="center"/>
    </xf>
    <xf numFmtId="1" fontId="12" fillId="0" borderId="10" xfId="2" applyNumberFormat="1" applyFont="1" applyBorder="1" applyAlignment="1">
      <alignment horizontal="center" vertical="center"/>
    </xf>
    <xf numFmtId="1" fontId="12" fillId="0" borderId="0" xfId="2" applyNumberFormat="1" applyFont="1" applyAlignment="1">
      <alignment horizontal="center"/>
    </xf>
    <xf numFmtId="0" fontId="12" fillId="0" borderId="44" xfId="2" applyFont="1" applyBorder="1" applyAlignment="1">
      <alignment vertical="center"/>
    </xf>
    <xf numFmtId="1" fontId="12" fillId="0" borderId="44" xfId="2" applyNumberFormat="1" applyFont="1" applyBorder="1" applyAlignment="1">
      <alignment vertical="center"/>
    </xf>
    <xf numFmtId="0" fontId="10" fillId="0" borderId="2" xfId="2" applyFont="1" applyBorder="1"/>
    <xf numFmtId="0" fontId="10" fillId="0" borderId="1" xfId="2" applyFont="1" applyBorder="1"/>
    <xf numFmtId="1" fontId="10" fillId="0" borderId="16" xfId="2" applyNumberFormat="1" applyFont="1" applyBorder="1"/>
    <xf numFmtId="1" fontId="10" fillId="0" borderId="35" xfId="2" applyNumberFormat="1" applyFont="1" applyBorder="1" applyAlignment="1">
      <alignment horizontal="center"/>
    </xf>
    <xf numFmtId="0" fontId="31" fillId="0" borderId="35" xfId="0" applyFont="1" applyBorder="1" applyAlignment="1">
      <alignment horizontal="center"/>
    </xf>
    <xf numFmtId="0" fontId="33" fillId="0" borderId="36" xfId="2" applyFont="1" applyBorder="1" applyAlignment="1">
      <alignment horizontal="left"/>
    </xf>
    <xf numFmtId="0" fontId="33" fillId="0" borderId="26" xfId="2" applyFont="1" applyBorder="1" applyAlignment="1">
      <alignment horizontal="left"/>
    </xf>
    <xf numFmtId="0" fontId="31" fillId="0" borderId="1" xfId="0" applyFont="1" applyBorder="1" applyAlignment="1">
      <alignment horizontal="center"/>
    </xf>
    <xf numFmtId="0" fontId="30" fillId="0" borderId="13" xfId="3" applyFont="1" applyBorder="1" applyAlignment="1">
      <alignment horizontal="center" vertical="center"/>
    </xf>
    <xf numFmtId="0" fontId="30" fillId="0" borderId="10" xfId="3" applyFont="1" applyBorder="1" applyAlignment="1">
      <alignment horizontal="center" vertical="center"/>
    </xf>
    <xf numFmtId="0" fontId="12" fillId="0" borderId="39" xfId="2" applyFont="1" applyBorder="1" applyAlignment="1">
      <alignment horizontal="left" vertical="center"/>
    </xf>
    <xf numFmtId="0" fontId="12" fillId="0" borderId="38" xfId="2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29" fillId="0" borderId="21" xfId="2" applyFont="1" applyBorder="1" applyAlignment="1">
      <alignment horizontal="left" vertical="center"/>
    </xf>
    <xf numFmtId="0" fontId="29" fillId="0" borderId="18" xfId="2" applyFont="1" applyBorder="1" applyAlignment="1">
      <alignment horizontal="left" vertical="center"/>
    </xf>
    <xf numFmtId="0" fontId="30" fillId="0" borderId="13" xfId="3" applyFont="1" applyBorder="1" applyAlignment="1">
      <alignment horizontal="left" vertical="center"/>
    </xf>
    <xf numFmtId="0" fontId="30" fillId="0" borderId="10" xfId="3" applyFont="1" applyBorder="1" applyAlignment="1">
      <alignment horizontal="left" vertical="center"/>
    </xf>
    <xf numFmtId="0" fontId="29" fillId="0" borderId="13" xfId="2" applyFont="1" applyBorder="1" applyAlignment="1">
      <alignment horizontal="left" vertical="center"/>
    </xf>
    <xf numFmtId="0" fontId="29" fillId="0" borderId="14" xfId="2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2" borderId="9" xfId="2" applyFont="1" applyFill="1" applyBorder="1" applyAlignment="1">
      <alignment horizontal="left" vertical="center"/>
    </xf>
    <xf numFmtId="0" fontId="29" fillId="2" borderId="8" xfId="2" applyFont="1" applyFill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22" fillId="0" borderId="3" xfId="0" applyFont="1" applyBorder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22" fillId="0" borderId="15" xfId="0" applyFont="1" applyBorder="1" applyAlignment="1" applyProtection="1">
      <alignment horizontal="left" vertical="center"/>
      <protection locked="0"/>
    </xf>
    <xf numFmtId="0" fontId="22" fillId="0" borderId="2" xfId="0" applyFont="1" applyBorder="1" applyAlignment="1" applyProtection="1">
      <alignment horizontal="left" vertical="center"/>
      <protection locked="0"/>
    </xf>
    <xf numFmtId="0" fontId="22" fillId="0" borderId="1" xfId="0" applyFont="1" applyBorder="1" applyAlignment="1" applyProtection="1">
      <alignment horizontal="left" vertical="center"/>
      <protection locked="0"/>
    </xf>
    <xf numFmtId="0" fontId="22" fillId="0" borderId="16" xfId="0" applyFont="1" applyBorder="1" applyAlignment="1" applyProtection="1">
      <alignment horizontal="left" vertical="center"/>
      <protection locked="0"/>
    </xf>
    <xf numFmtId="0" fontId="26" fillId="2" borderId="9" xfId="0" applyFont="1" applyFill="1" applyBorder="1" applyAlignment="1" applyProtection="1">
      <alignment horizontal="left" vertical="center" wrapText="1"/>
      <protection locked="0"/>
    </xf>
    <xf numFmtId="0" fontId="26" fillId="2" borderId="8" xfId="0" applyFont="1" applyFill="1" applyBorder="1" applyAlignment="1" applyProtection="1">
      <alignment horizontal="left" vertical="center" wrapText="1"/>
      <protection locked="0"/>
    </xf>
    <xf numFmtId="0" fontId="26" fillId="2" borderId="7" xfId="0" applyFont="1" applyFill="1" applyBorder="1" applyAlignment="1" applyProtection="1">
      <alignment horizontal="left" vertical="center" wrapText="1"/>
      <protection locked="0"/>
    </xf>
    <xf numFmtId="0" fontId="24" fillId="0" borderId="2" xfId="2" applyFont="1" applyBorder="1" applyAlignment="1">
      <alignment horizontal="center"/>
    </xf>
    <xf numFmtId="0" fontId="24" fillId="0" borderId="1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30" fillId="0" borderId="32" xfId="3" applyFont="1" applyBorder="1" applyAlignment="1">
      <alignment horizontal="center" vertical="center"/>
    </xf>
    <xf numFmtId="0" fontId="30" fillId="0" borderId="12" xfId="3" applyFont="1" applyBorder="1" applyAlignment="1">
      <alignment horizontal="center" vertical="center"/>
    </xf>
    <xf numFmtId="0" fontId="29" fillId="0" borderId="13" xfId="2" applyFont="1" applyBorder="1" applyAlignment="1">
      <alignment horizontal="left"/>
    </xf>
    <xf numFmtId="0" fontId="29" fillId="0" borderId="14" xfId="2" applyFont="1" applyBorder="1" applyAlignment="1">
      <alignment horizontal="left"/>
    </xf>
    <xf numFmtId="0" fontId="29" fillId="2" borderId="9" xfId="2" applyFont="1" applyFill="1" applyBorder="1" applyAlignment="1">
      <alignment horizontal="left" vertical="center" wrapText="1"/>
    </xf>
    <xf numFmtId="0" fontId="29" fillId="2" borderId="7" xfId="2" applyFont="1" applyFill="1" applyBorder="1" applyAlignment="1">
      <alignment horizontal="left" vertical="center" wrapText="1"/>
    </xf>
    <xf numFmtId="0" fontId="29" fillId="0" borderId="36" xfId="2" applyFont="1" applyBorder="1" applyAlignment="1">
      <alignment horizontal="left"/>
    </xf>
    <xf numFmtId="0" fontId="29" fillId="0" borderId="26" xfId="2" applyFont="1" applyBorder="1" applyAlignment="1">
      <alignment horizontal="left"/>
    </xf>
    <xf numFmtId="0" fontId="30" fillId="0" borderId="2" xfId="3" applyFont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34" fillId="0" borderId="36" xfId="2" applyFont="1" applyBorder="1" applyAlignment="1">
      <alignment horizontal="left" vertical="center" wrapText="1"/>
    </xf>
    <xf numFmtId="0" fontId="34" fillId="0" borderId="37" xfId="2" applyFont="1" applyBorder="1" applyAlignment="1">
      <alignment horizontal="left" vertical="center" wrapText="1"/>
    </xf>
    <xf numFmtId="0" fontId="9" fillId="0" borderId="6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quotePrefix="1" applyAlignment="1">
      <alignment horizontal="right"/>
    </xf>
    <xf numFmtId="0" fontId="28" fillId="3" borderId="6" xfId="2" applyFont="1" applyFill="1" applyBorder="1" applyAlignment="1">
      <alignment horizontal="left" vertical="center"/>
    </xf>
    <xf numFmtId="0" fontId="28" fillId="3" borderId="5" xfId="2" applyFont="1" applyFill="1" applyBorder="1" applyAlignment="1">
      <alignment horizontal="left" vertical="center"/>
    </xf>
    <xf numFmtId="0" fontId="28" fillId="3" borderId="4" xfId="2" applyFont="1" applyFill="1" applyBorder="1" applyAlignment="1">
      <alignment horizontal="left" vertical="center"/>
    </xf>
    <xf numFmtId="0" fontId="28" fillId="3" borderId="2" xfId="2" applyFont="1" applyFill="1" applyBorder="1" applyAlignment="1">
      <alignment horizontal="left" vertical="center"/>
    </xf>
    <xf numFmtId="0" fontId="28" fillId="3" borderId="1" xfId="2" applyFont="1" applyFill="1" applyBorder="1" applyAlignment="1">
      <alignment horizontal="left" vertical="center"/>
    </xf>
    <xf numFmtId="0" fontId="28" fillId="3" borderId="16" xfId="2" applyFont="1" applyFill="1" applyBorder="1" applyAlignment="1">
      <alignment horizontal="left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>
      <alignment horizontal="left" vertical="center"/>
    </xf>
  </cellXfs>
  <cellStyles count="5">
    <cellStyle name="Comma" xfId="1" builtinId="3"/>
    <cellStyle name="Hyperlink" xfId="4" builtinId="8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604157</xdr:colOff>
      <xdr:row>0</xdr:row>
      <xdr:rowOff>63959</xdr:rowOff>
    </xdr:from>
    <xdr:ext cx="1605643" cy="80682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157" y="63959"/>
          <a:ext cx="1605643" cy="806829"/>
        </a:xfrm>
        <a:prstGeom prst="rect">
          <a:avLst/>
        </a:prstGeom>
      </xdr:spPr>
    </xdr:pic>
    <xdr:clientData/>
  </xdr:oneCellAnchor>
  <xdr:twoCellAnchor editAs="oneCell">
    <xdr:from>
      <xdr:col>8</xdr:col>
      <xdr:colOff>361950</xdr:colOff>
      <xdr:row>0</xdr:row>
      <xdr:rowOff>57150</xdr:rowOff>
    </xdr:from>
    <xdr:to>
      <xdr:col>9</xdr:col>
      <xdr:colOff>1758950</xdr:colOff>
      <xdr:row>4</xdr:row>
      <xdr:rowOff>148707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C5ABD5-A045-4B75-B33E-54A8E2828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3950" y="57150"/>
          <a:ext cx="2387600" cy="840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&#160;%20+91-22-67111555%20Fax:%20+91-22-67111666&#160;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nage.india.resellerclub.com/servlet/ViewOrderServlet?orderid=20059196" TargetMode="External"/><Relationship Id="rId3" Type="http://schemas.openxmlformats.org/officeDocument/2006/relationships/hyperlink" Target="https://manage.india.resellerclub.com/servlet/ViewOrderServlet?orderid=20057601" TargetMode="External"/><Relationship Id="rId7" Type="http://schemas.openxmlformats.org/officeDocument/2006/relationships/hyperlink" Target="https://manage.india.resellerclub.com/servlet/ViewOrderServlet?orderid=27137590" TargetMode="External"/><Relationship Id="rId2" Type="http://schemas.openxmlformats.org/officeDocument/2006/relationships/hyperlink" Target="https://manage.india.resellerclub.com/servlet/ViewOrderServlet?orderid=20057599" TargetMode="External"/><Relationship Id="rId1" Type="http://schemas.openxmlformats.org/officeDocument/2006/relationships/hyperlink" Target="https://manage.india.resellerclub.com/servlet/ViewOrderServlet?orderid=27137594" TargetMode="External"/><Relationship Id="rId6" Type="http://schemas.openxmlformats.org/officeDocument/2006/relationships/hyperlink" Target="https://manage.india.resellerclub.com/servlet/ViewOrderServlet?orderid=27137592" TargetMode="External"/><Relationship Id="rId5" Type="http://schemas.openxmlformats.org/officeDocument/2006/relationships/hyperlink" Target="https://manage.india.resellerclub.com/servlet/ViewOrderServlet?orderid=27137595" TargetMode="External"/><Relationship Id="rId10" Type="http://schemas.openxmlformats.org/officeDocument/2006/relationships/hyperlink" Target="https://manage.india.resellerclub.com/servlet/ViewOrderServlet?orderid=20164008" TargetMode="External"/><Relationship Id="rId4" Type="http://schemas.openxmlformats.org/officeDocument/2006/relationships/hyperlink" Target="https://manage.india.resellerclub.com/servlet/ViewOrderServlet?orderid=20057597" TargetMode="External"/><Relationship Id="rId9" Type="http://schemas.openxmlformats.org/officeDocument/2006/relationships/hyperlink" Target="https://manage.india.resellerclub.com/servlet/ViewOrderServlet?orderid=20059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0"/>
  <sheetViews>
    <sheetView tabSelected="1" topLeftCell="A53" zoomScale="84" zoomScaleNormal="115" workbookViewId="0">
      <selection activeCell="A75" sqref="A75:B75"/>
    </sheetView>
  </sheetViews>
  <sheetFormatPr defaultRowHeight="14.45"/>
  <cols>
    <col min="1" max="1" width="82.85546875" bestFit="1" customWidth="1"/>
    <col min="2" max="2" width="27" customWidth="1"/>
    <col min="3" max="3" width="19.42578125" style="1" customWidth="1"/>
    <col min="4" max="4" width="5" bestFit="1" customWidth="1"/>
    <col min="5" max="5" width="6.42578125" hidden="1" customWidth="1"/>
    <col min="6" max="6" width="13.140625" bestFit="1" customWidth="1"/>
    <col min="7" max="8" width="13.140625" customWidth="1"/>
    <col min="9" max="9" width="13.85546875" customWidth="1"/>
    <col min="10" max="10" width="38" bestFit="1" customWidth="1"/>
    <col min="11" max="11" width="9.140625" customWidth="1"/>
    <col min="12" max="12" width="18.140625" customWidth="1"/>
    <col min="13" max="14" width="9.140625" customWidth="1"/>
  </cols>
  <sheetData>
    <row r="1" spans="1:16" ht="14.85" customHeight="1">
      <c r="A1" s="160" t="s">
        <v>0</v>
      </c>
      <c r="B1" s="161"/>
      <c r="C1" s="161"/>
      <c r="D1" s="161"/>
      <c r="E1" s="161"/>
      <c r="F1" s="161"/>
      <c r="G1" s="161"/>
      <c r="H1" s="18"/>
      <c r="I1" s="175"/>
      <c r="J1" s="176"/>
    </row>
    <row r="2" spans="1:16" ht="14.85" customHeight="1">
      <c r="A2" s="162"/>
      <c r="B2" s="163"/>
      <c r="C2" s="163"/>
      <c r="D2" s="163"/>
      <c r="E2" s="163"/>
      <c r="F2" s="163"/>
      <c r="G2" s="163"/>
      <c r="H2" s="19"/>
      <c r="I2" s="177"/>
      <c r="J2" s="178"/>
    </row>
    <row r="3" spans="1:16" ht="15" customHeight="1">
      <c r="A3" s="164" t="s">
        <v>1</v>
      </c>
      <c r="B3" s="165"/>
      <c r="C3" s="165"/>
      <c r="D3" s="165"/>
      <c r="E3" s="165"/>
      <c r="F3" s="165"/>
      <c r="G3" s="165"/>
      <c r="H3" s="20"/>
      <c r="I3" s="177"/>
      <c r="J3" s="178"/>
    </row>
    <row r="4" spans="1:16" ht="15" customHeight="1">
      <c r="A4" s="168" t="s">
        <v>2</v>
      </c>
      <c r="B4" s="165"/>
      <c r="C4" s="165"/>
      <c r="D4" s="165"/>
      <c r="E4" s="165"/>
      <c r="F4" s="165"/>
      <c r="G4" s="165"/>
      <c r="H4" s="20"/>
      <c r="I4" s="177"/>
      <c r="J4" s="178"/>
      <c r="K4" s="4"/>
      <c r="L4" s="4"/>
      <c r="M4" s="4"/>
      <c r="N4" s="2"/>
      <c r="O4" s="2"/>
      <c r="P4" s="3"/>
    </row>
    <row r="5" spans="1:16" ht="15.75" customHeight="1" thickBot="1">
      <c r="A5" s="166" t="s">
        <v>3</v>
      </c>
      <c r="B5" s="167"/>
      <c r="C5" s="167"/>
      <c r="D5" s="167"/>
      <c r="E5" s="167"/>
      <c r="F5" s="167"/>
      <c r="G5" s="167"/>
      <c r="H5" s="21"/>
      <c r="I5" s="179"/>
      <c r="J5" s="180"/>
    </row>
    <row r="6" spans="1:16" ht="18.75" customHeight="1" thickBot="1">
      <c r="A6" s="8" t="s">
        <v>4</v>
      </c>
      <c r="B6" s="181" t="s">
        <v>5</v>
      </c>
      <c r="C6" s="181"/>
      <c r="D6" s="181"/>
      <c r="E6" s="181"/>
      <c r="F6" s="181"/>
      <c r="G6" s="181"/>
      <c r="H6" s="181"/>
      <c r="I6" s="181"/>
      <c r="J6" s="12" t="s">
        <v>6</v>
      </c>
      <c r="K6" s="126" t="s">
        <v>7</v>
      </c>
      <c r="L6" s="127"/>
      <c r="M6" s="128"/>
    </row>
    <row r="7" spans="1:16" ht="14.85" customHeight="1">
      <c r="A7" s="9" t="s">
        <v>8</v>
      </c>
      <c r="B7" s="134" t="s">
        <v>9</v>
      </c>
      <c r="C7" s="134"/>
      <c r="D7" s="134"/>
      <c r="E7" s="134"/>
      <c r="F7" s="134"/>
      <c r="G7" s="134"/>
      <c r="H7" s="134"/>
      <c r="I7" s="134"/>
      <c r="J7" s="13" t="s">
        <v>10</v>
      </c>
      <c r="K7" s="116" t="s">
        <v>11</v>
      </c>
      <c r="L7" s="117"/>
      <c r="M7" s="6" t="s">
        <v>12</v>
      </c>
    </row>
    <row r="8" spans="1:16" ht="15" customHeight="1">
      <c r="A8" s="10" t="s">
        <v>13</v>
      </c>
      <c r="B8" s="134" t="s">
        <v>13</v>
      </c>
      <c r="C8" s="134" t="s">
        <v>14</v>
      </c>
      <c r="D8" s="134" t="s">
        <v>14</v>
      </c>
      <c r="E8" s="134"/>
      <c r="F8" s="134" t="s">
        <v>14</v>
      </c>
      <c r="G8" s="134"/>
      <c r="H8" s="134"/>
      <c r="I8" s="134" t="s">
        <v>14</v>
      </c>
      <c r="J8" s="14" t="s">
        <v>15</v>
      </c>
      <c r="K8" s="116" t="s">
        <v>16</v>
      </c>
      <c r="L8" s="117"/>
      <c r="M8" s="6" t="s">
        <v>17</v>
      </c>
    </row>
    <row r="9" spans="1:16" ht="15" customHeight="1">
      <c r="A9" s="9" t="s">
        <v>18</v>
      </c>
      <c r="B9" s="134" t="s">
        <v>18</v>
      </c>
      <c r="C9" s="134" t="s">
        <v>18</v>
      </c>
      <c r="D9" s="134" t="s">
        <v>18</v>
      </c>
      <c r="E9" s="134"/>
      <c r="F9" s="134" t="s">
        <v>18</v>
      </c>
      <c r="G9" s="134"/>
      <c r="H9" s="134"/>
      <c r="I9" s="134" t="s">
        <v>18</v>
      </c>
      <c r="J9" s="14" t="s">
        <v>19</v>
      </c>
      <c r="K9" s="116" t="s">
        <v>20</v>
      </c>
      <c r="L9" s="117"/>
      <c r="M9" s="7">
        <v>90</v>
      </c>
    </row>
    <row r="10" spans="1:16" ht="15" customHeight="1">
      <c r="A10" s="9" t="s">
        <v>21</v>
      </c>
      <c r="B10" s="134" t="s">
        <v>21</v>
      </c>
      <c r="C10" s="134" t="s">
        <v>21</v>
      </c>
      <c r="D10" s="134" t="s">
        <v>21</v>
      </c>
      <c r="E10" s="134"/>
      <c r="F10" s="134" t="s">
        <v>21</v>
      </c>
      <c r="G10" s="134"/>
      <c r="H10" s="134"/>
      <c r="I10" s="134" t="s">
        <v>21</v>
      </c>
      <c r="J10" s="14" t="s">
        <v>22</v>
      </c>
      <c r="K10" s="118" t="s">
        <v>23</v>
      </c>
      <c r="L10" s="119"/>
      <c r="M10" s="17">
        <v>0.15</v>
      </c>
    </row>
    <row r="11" spans="1:16" ht="15.75" customHeight="1" thickBot="1">
      <c r="A11" s="11" t="s">
        <v>24</v>
      </c>
      <c r="B11" s="135" t="s">
        <v>24</v>
      </c>
      <c r="C11" s="135" t="s">
        <v>24</v>
      </c>
      <c r="D11" s="135" t="s">
        <v>24</v>
      </c>
      <c r="E11" s="135"/>
      <c r="F11" s="135" t="s">
        <v>24</v>
      </c>
      <c r="G11" s="135"/>
      <c r="H11" s="135"/>
      <c r="I11" s="135" t="s">
        <v>24</v>
      </c>
      <c r="J11" s="15"/>
      <c r="K11" s="129"/>
      <c r="L11" s="130"/>
      <c r="M11" s="131"/>
    </row>
    <row r="12" spans="1:16" ht="18.75" customHeight="1">
      <c r="A12" s="169" t="s">
        <v>25</v>
      </c>
      <c r="B12" s="170"/>
      <c r="C12" s="170"/>
      <c r="D12" s="170"/>
      <c r="E12" s="170"/>
      <c r="F12" s="170"/>
      <c r="G12" s="170"/>
      <c r="H12" s="170"/>
      <c r="I12" s="170"/>
      <c r="J12" s="171"/>
    </row>
    <row r="13" spans="1:16" ht="15.75" customHeight="1" thickBot="1">
      <c r="A13" s="172"/>
      <c r="B13" s="173"/>
      <c r="C13" s="173"/>
      <c r="D13" s="173"/>
      <c r="E13" s="173"/>
      <c r="F13" s="173"/>
      <c r="G13" s="173"/>
      <c r="H13" s="173"/>
      <c r="I13" s="173"/>
      <c r="J13" s="174"/>
    </row>
    <row r="14" spans="1:16" s="5" customFormat="1" ht="37.5" thickBot="1">
      <c r="A14" s="132" t="s">
        <v>26</v>
      </c>
      <c r="B14" s="133"/>
      <c r="C14" s="52" t="s">
        <v>27</v>
      </c>
      <c r="D14" s="52" t="s">
        <v>28</v>
      </c>
      <c r="E14" s="52" t="s">
        <v>29</v>
      </c>
      <c r="F14" s="52" t="s">
        <v>30</v>
      </c>
      <c r="G14" s="52" t="s">
        <v>31</v>
      </c>
      <c r="H14" s="52" t="s">
        <v>32</v>
      </c>
      <c r="I14" s="52" t="s">
        <v>33</v>
      </c>
      <c r="J14" s="52" t="s">
        <v>34</v>
      </c>
    </row>
    <row r="15" spans="1:16" s="5" customFormat="1" ht="18.600000000000001">
      <c r="A15" s="122" t="s">
        <v>35</v>
      </c>
      <c r="B15" s="123"/>
      <c r="C15" s="53"/>
      <c r="D15" s="53"/>
      <c r="E15" s="53"/>
      <c r="F15" s="53"/>
      <c r="G15" s="53"/>
      <c r="H15" s="53"/>
      <c r="I15" s="54"/>
      <c r="J15" s="55"/>
    </row>
    <row r="16" spans="1:16" s="5" customFormat="1" ht="18.600000000000001">
      <c r="A16" s="120" t="s">
        <v>36</v>
      </c>
      <c r="B16" s="121"/>
      <c r="C16" s="56" t="s">
        <v>37</v>
      </c>
      <c r="D16" s="56">
        <v>0</v>
      </c>
      <c r="E16" s="57">
        <v>1.75</v>
      </c>
      <c r="F16" s="58">
        <f>E16*$M$9</f>
        <v>157.5</v>
      </c>
      <c r="G16" s="58">
        <f>F16*D16</f>
        <v>0</v>
      </c>
      <c r="H16" s="58"/>
      <c r="I16" s="58" t="s">
        <v>38</v>
      </c>
      <c r="J16" s="55"/>
    </row>
    <row r="17" spans="1:12" s="5" customFormat="1" ht="18.600000000000001">
      <c r="A17" s="120" t="s">
        <v>39</v>
      </c>
      <c r="B17" s="121"/>
      <c r="C17" s="56" t="s">
        <v>37</v>
      </c>
      <c r="D17" s="56">
        <v>0</v>
      </c>
      <c r="E17" s="57">
        <v>1.5</v>
      </c>
      <c r="F17" s="58">
        <f t="shared" ref="F17:F46" si="0">E17*$M$9</f>
        <v>135</v>
      </c>
      <c r="G17" s="58">
        <f t="shared" ref="G17:G43" si="1">F17*D17</f>
        <v>0</v>
      </c>
      <c r="H17" s="58">
        <f>G17*12</f>
        <v>0</v>
      </c>
      <c r="I17" s="58" t="s">
        <v>38</v>
      </c>
      <c r="J17" s="55"/>
    </row>
    <row r="18" spans="1:12" s="5" customFormat="1" ht="18.600000000000001">
      <c r="A18" s="120" t="s">
        <v>40</v>
      </c>
      <c r="B18" s="121"/>
      <c r="C18" s="56" t="s">
        <v>37</v>
      </c>
      <c r="D18" s="56">
        <v>0</v>
      </c>
      <c r="E18" s="57">
        <v>1.5</v>
      </c>
      <c r="F18" s="58">
        <f t="shared" si="0"/>
        <v>135</v>
      </c>
      <c r="G18" s="58">
        <f t="shared" si="1"/>
        <v>0</v>
      </c>
      <c r="H18" s="58"/>
      <c r="I18" s="58" t="s">
        <v>38</v>
      </c>
      <c r="J18" s="55"/>
    </row>
    <row r="19" spans="1:12" s="5" customFormat="1" ht="18.600000000000001">
      <c r="A19" s="120" t="s">
        <v>41</v>
      </c>
      <c r="B19" s="121"/>
      <c r="C19" s="56" t="s">
        <v>37</v>
      </c>
      <c r="D19" s="56">
        <v>0</v>
      </c>
      <c r="E19" s="57">
        <v>1.25</v>
      </c>
      <c r="F19" s="58">
        <f t="shared" si="0"/>
        <v>112.5</v>
      </c>
      <c r="G19" s="58">
        <f t="shared" si="1"/>
        <v>0</v>
      </c>
      <c r="H19" s="58"/>
      <c r="I19" s="58" t="s">
        <v>38</v>
      </c>
      <c r="J19" s="55"/>
    </row>
    <row r="20" spans="1:12" s="5" customFormat="1" ht="18.600000000000001">
      <c r="A20" s="122"/>
      <c r="B20" s="123"/>
      <c r="C20" s="53"/>
      <c r="D20" s="53"/>
      <c r="E20" s="59"/>
      <c r="F20" s="58"/>
      <c r="G20" s="58"/>
      <c r="H20" s="58"/>
      <c r="I20" s="58"/>
      <c r="J20" s="55"/>
    </row>
    <row r="21" spans="1:12" s="5" customFormat="1" ht="18.600000000000001">
      <c r="A21" s="120" t="s">
        <v>42</v>
      </c>
      <c r="B21" s="121"/>
      <c r="C21" s="56" t="s">
        <v>43</v>
      </c>
      <c r="D21" s="56">
        <v>0</v>
      </c>
      <c r="E21" s="57">
        <v>3</v>
      </c>
      <c r="F21" s="58">
        <f t="shared" si="0"/>
        <v>270</v>
      </c>
      <c r="G21" s="58">
        <f t="shared" si="1"/>
        <v>0</v>
      </c>
      <c r="H21" s="58"/>
      <c r="I21" s="58" t="s">
        <v>38</v>
      </c>
      <c r="J21" s="55"/>
      <c r="L21"/>
    </row>
    <row r="22" spans="1:12" s="5" customFormat="1" ht="18.600000000000001">
      <c r="A22" s="120" t="s">
        <v>44</v>
      </c>
      <c r="B22" s="121"/>
      <c r="C22" s="56" t="s">
        <v>43</v>
      </c>
      <c r="D22" s="56">
        <v>0</v>
      </c>
      <c r="E22" s="57">
        <v>2.75</v>
      </c>
      <c r="F22" s="58">
        <f t="shared" si="0"/>
        <v>247.5</v>
      </c>
      <c r="G22" s="58">
        <f t="shared" si="1"/>
        <v>0</v>
      </c>
      <c r="H22" s="58"/>
      <c r="I22" s="58" t="s">
        <v>38</v>
      </c>
      <c r="J22" s="55"/>
    </row>
    <row r="23" spans="1:12" s="5" customFormat="1" ht="18.600000000000001">
      <c r="A23" s="120" t="s">
        <v>45</v>
      </c>
      <c r="B23" s="121"/>
      <c r="C23" s="56" t="s">
        <v>43</v>
      </c>
      <c r="D23" s="56">
        <v>0</v>
      </c>
      <c r="E23" s="57">
        <v>2.5</v>
      </c>
      <c r="F23" s="58">
        <f t="shared" si="0"/>
        <v>225</v>
      </c>
      <c r="G23" s="58">
        <f t="shared" si="1"/>
        <v>0</v>
      </c>
      <c r="H23" s="58"/>
      <c r="I23" s="58" t="s">
        <v>38</v>
      </c>
      <c r="J23" s="55"/>
    </row>
    <row r="24" spans="1:12" s="5" customFormat="1" ht="18.600000000000001">
      <c r="A24" s="120" t="s">
        <v>46</v>
      </c>
      <c r="B24" s="121"/>
      <c r="C24" s="56" t="s">
        <v>43</v>
      </c>
      <c r="D24" s="56">
        <v>0</v>
      </c>
      <c r="E24" s="57">
        <v>2.25</v>
      </c>
      <c r="F24" s="58">
        <f t="shared" si="0"/>
        <v>202.5</v>
      </c>
      <c r="G24" s="58">
        <f t="shared" si="1"/>
        <v>0</v>
      </c>
      <c r="H24" s="58"/>
      <c r="I24" s="58" t="s">
        <v>38</v>
      </c>
      <c r="J24" s="55"/>
    </row>
    <row r="25" spans="1:12" s="5" customFormat="1" ht="18.600000000000001">
      <c r="A25" s="122"/>
      <c r="B25" s="123"/>
      <c r="C25" s="53"/>
      <c r="D25" s="53"/>
      <c r="E25" s="59"/>
      <c r="F25" s="60"/>
      <c r="G25" s="60"/>
      <c r="H25" s="60"/>
      <c r="I25" s="61"/>
      <c r="J25" s="55"/>
    </row>
    <row r="26" spans="1:12" s="5" customFormat="1" ht="18.600000000000001">
      <c r="A26" s="120" t="s">
        <v>47</v>
      </c>
      <c r="B26" s="121"/>
      <c r="C26" s="56" t="s">
        <v>48</v>
      </c>
      <c r="D26" s="56">
        <v>0</v>
      </c>
      <c r="E26" s="57">
        <v>9</v>
      </c>
      <c r="F26" s="58">
        <f t="shared" si="0"/>
        <v>810</v>
      </c>
      <c r="G26" s="58">
        <f t="shared" si="1"/>
        <v>0</v>
      </c>
      <c r="H26" s="58"/>
      <c r="I26" s="62"/>
      <c r="J26" s="55"/>
    </row>
    <row r="27" spans="1:12" s="5" customFormat="1" ht="18.600000000000001">
      <c r="A27" s="120" t="s">
        <v>49</v>
      </c>
      <c r="B27" s="121"/>
      <c r="C27" s="56" t="s">
        <v>48</v>
      </c>
      <c r="D27" s="56">
        <v>0</v>
      </c>
      <c r="E27" s="57">
        <v>8</v>
      </c>
      <c r="F27" s="58">
        <f>E27*$M$9</f>
        <v>720</v>
      </c>
      <c r="G27" s="58">
        <f t="shared" si="1"/>
        <v>0</v>
      </c>
      <c r="H27" s="58">
        <f>G27*12</f>
        <v>0</v>
      </c>
      <c r="I27" s="62" t="s">
        <v>38</v>
      </c>
      <c r="J27" s="55"/>
    </row>
    <row r="28" spans="1:12" s="5" customFormat="1" ht="18.600000000000001">
      <c r="A28" s="120" t="s">
        <v>50</v>
      </c>
      <c r="B28" s="121"/>
      <c r="C28" s="56" t="s">
        <v>48</v>
      </c>
      <c r="D28" s="56">
        <v>0</v>
      </c>
      <c r="E28" s="57">
        <v>7</v>
      </c>
      <c r="F28" s="58">
        <f t="shared" si="0"/>
        <v>630</v>
      </c>
      <c r="G28" s="58">
        <f t="shared" si="1"/>
        <v>0</v>
      </c>
      <c r="H28" s="58"/>
      <c r="I28" s="62" t="s">
        <v>38</v>
      </c>
      <c r="J28" s="55"/>
    </row>
    <row r="29" spans="1:12" s="5" customFormat="1" ht="18.600000000000001">
      <c r="A29" s="120" t="s">
        <v>51</v>
      </c>
      <c r="B29" s="121"/>
      <c r="C29" s="56" t="s">
        <v>48</v>
      </c>
      <c r="D29" s="56">
        <v>0</v>
      </c>
      <c r="E29" s="57">
        <v>6</v>
      </c>
      <c r="F29" s="58">
        <f t="shared" si="0"/>
        <v>540</v>
      </c>
      <c r="G29" s="58">
        <f t="shared" si="1"/>
        <v>0</v>
      </c>
      <c r="H29" s="58"/>
      <c r="I29" s="62" t="s">
        <v>38</v>
      </c>
      <c r="J29" s="55"/>
    </row>
    <row r="30" spans="1:12" s="5" customFormat="1" ht="18.600000000000001">
      <c r="A30" s="122"/>
      <c r="B30" s="123"/>
      <c r="C30" s="53"/>
      <c r="D30" s="53"/>
      <c r="E30" s="59"/>
      <c r="F30" s="63"/>
      <c r="G30" s="63"/>
      <c r="H30" s="63"/>
      <c r="I30" s="64"/>
      <c r="J30" s="55"/>
    </row>
    <row r="31" spans="1:12" s="5" customFormat="1" ht="18.600000000000001">
      <c r="A31" s="120" t="s">
        <v>52</v>
      </c>
      <c r="B31" s="121"/>
      <c r="C31" s="56" t="s">
        <v>53</v>
      </c>
      <c r="D31" s="56">
        <v>0</v>
      </c>
      <c r="E31" s="62">
        <v>310</v>
      </c>
      <c r="F31" s="58">
        <f t="shared" ref="F31:F33" si="2">E31*$M$9</f>
        <v>27900</v>
      </c>
      <c r="G31" s="58">
        <f t="shared" si="1"/>
        <v>0</v>
      </c>
      <c r="H31" s="58"/>
      <c r="I31" s="62">
        <v>4999</v>
      </c>
      <c r="J31" s="55"/>
    </row>
    <row r="32" spans="1:12" s="5" customFormat="1" ht="18.600000000000001">
      <c r="A32" s="120" t="s">
        <v>54</v>
      </c>
      <c r="B32" s="121"/>
      <c r="C32" s="56" t="s">
        <v>53</v>
      </c>
      <c r="D32" s="56">
        <v>0</v>
      </c>
      <c r="E32" s="62">
        <v>249</v>
      </c>
      <c r="F32" s="58">
        <f t="shared" si="2"/>
        <v>22410</v>
      </c>
      <c r="G32" s="58">
        <f t="shared" si="1"/>
        <v>0</v>
      </c>
      <c r="H32" s="58"/>
      <c r="I32" s="62" t="s">
        <v>38</v>
      </c>
      <c r="J32" s="55"/>
    </row>
    <row r="33" spans="1:11" s="5" customFormat="1" ht="18.600000000000001">
      <c r="A33" s="120" t="s">
        <v>55</v>
      </c>
      <c r="B33" s="121"/>
      <c r="C33" s="56" t="s">
        <v>53</v>
      </c>
      <c r="D33" s="56">
        <v>0</v>
      </c>
      <c r="E33" s="62">
        <v>199</v>
      </c>
      <c r="F33" s="58">
        <f t="shared" si="2"/>
        <v>17910</v>
      </c>
      <c r="G33" s="58">
        <f t="shared" si="1"/>
        <v>0</v>
      </c>
      <c r="H33" s="58"/>
      <c r="I33" s="62" t="s">
        <v>38</v>
      </c>
      <c r="J33" s="55"/>
    </row>
    <row r="34" spans="1:11" s="5" customFormat="1" ht="18.600000000000001">
      <c r="A34" s="122"/>
      <c r="B34" s="123"/>
      <c r="C34" s="53"/>
      <c r="D34" s="53"/>
      <c r="E34" s="59"/>
      <c r="F34" s="63"/>
      <c r="G34" s="63"/>
      <c r="H34" s="63"/>
      <c r="I34" s="64"/>
      <c r="J34" s="55"/>
    </row>
    <row r="35" spans="1:11" s="5" customFormat="1" ht="18.600000000000001">
      <c r="A35" s="124" t="s">
        <v>56</v>
      </c>
      <c r="B35" s="125"/>
      <c r="C35" s="56" t="s">
        <v>57</v>
      </c>
      <c r="D35" s="56">
        <v>0</v>
      </c>
      <c r="E35" s="57">
        <v>1</v>
      </c>
      <c r="F35" s="58">
        <f t="shared" si="0"/>
        <v>90</v>
      </c>
      <c r="G35" s="58">
        <f t="shared" si="1"/>
        <v>0</v>
      </c>
      <c r="H35" s="58"/>
      <c r="I35" s="62" t="s">
        <v>38</v>
      </c>
      <c r="J35" s="55"/>
    </row>
    <row r="36" spans="1:11" s="5" customFormat="1" ht="18.600000000000001">
      <c r="A36" s="124" t="s">
        <v>58</v>
      </c>
      <c r="B36" s="125"/>
      <c r="C36" s="56" t="s">
        <v>57</v>
      </c>
      <c r="D36" s="56">
        <v>0</v>
      </c>
      <c r="E36" s="57">
        <v>0.9</v>
      </c>
      <c r="F36" s="58">
        <f t="shared" si="0"/>
        <v>81</v>
      </c>
      <c r="G36" s="58">
        <f t="shared" si="1"/>
        <v>0</v>
      </c>
      <c r="H36" s="58"/>
      <c r="I36" s="62" t="s">
        <v>38</v>
      </c>
      <c r="J36" s="55"/>
    </row>
    <row r="37" spans="1:11" s="5" customFormat="1" ht="18.600000000000001">
      <c r="A37" s="124" t="s">
        <v>59</v>
      </c>
      <c r="B37" s="125"/>
      <c r="C37" s="56" t="s">
        <v>57</v>
      </c>
      <c r="D37" s="56">
        <v>0</v>
      </c>
      <c r="E37" s="57">
        <v>0.8</v>
      </c>
      <c r="F37" s="58">
        <f t="shared" si="0"/>
        <v>72</v>
      </c>
      <c r="G37" s="58">
        <f t="shared" si="1"/>
        <v>0</v>
      </c>
      <c r="H37" s="58"/>
      <c r="I37" s="62" t="s">
        <v>38</v>
      </c>
      <c r="J37" s="55"/>
    </row>
    <row r="38" spans="1:11" s="5" customFormat="1" ht="18.600000000000001">
      <c r="A38" s="124" t="s">
        <v>60</v>
      </c>
      <c r="B38" s="125"/>
      <c r="C38" s="56" t="s">
        <v>57</v>
      </c>
      <c r="D38" s="56">
        <v>0</v>
      </c>
      <c r="E38" s="57">
        <v>0.7</v>
      </c>
      <c r="F38" s="58">
        <f t="shared" si="0"/>
        <v>62.999999999999993</v>
      </c>
      <c r="G38" s="58">
        <f t="shared" si="1"/>
        <v>0</v>
      </c>
      <c r="H38" s="58"/>
      <c r="I38" s="62" t="s">
        <v>38</v>
      </c>
      <c r="J38" s="55"/>
    </row>
    <row r="39" spans="1:11" s="5" customFormat="1" ht="18.600000000000001">
      <c r="A39" s="122"/>
      <c r="B39" s="123"/>
      <c r="C39" s="53"/>
      <c r="D39" s="53"/>
      <c r="E39" s="59"/>
      <c r="F39" s="63"/>
      <c r="G39" s="63"/>
      <c r="H39" s="63"/>
      <c r="I39" s="64"/>
      <c r="J39" s="55"/>
    </row>
    <row r="40" spans="1:11" s="5" customFormat="1" ht="18.600000000000001">
      <c r="A40" s="120" t="s">
        <v>61</v>
      </c>
      <c r="B40" s="121"/>
      <c r="C40" s="56" t="s">
        <v>37</v>
      </c>
      <c r="D40" s="56">
        <v>0</v>
      </c>
      <c r="E40" s="57">
        <v>0.75</v>
      </c>
      <c r="F40" s="58">
        <f t="shared" si="0"/>
        <v>67.5</v>
      </c>
      <c r="G40" s="58">
        <f t="shared" si="1"/>
        <v>0</v>
      </c>
      <c r="H40" s="58"/>
      <c r="I40" s="62" t="s">
        <v>38</v>
      </c>
      <c r="J40" s="55"/>
    </row>
    <row r="41" spans="1:11" s="5" customFormat="1" ht="18.600000000000001">
      <c r="A41" s="120" t="s">
        <v>62</v>
      </c>
      <c r="B41" s="121"/>
      <c r="C41" s="56" t="s">
        <v>37</v>
      </c>
      <c r="D41" s="56">
        <v>0</v>
      </c>
      <c r="E41" s="57">
        <v>0.7</v>
      </c>
      <c r="F41" s="58">
        <f t="shared" si="0"/>
        <v>62.999999999999993</v>
      </c>
      <c r="G41" s="58">
        <f t="shared" si="1"/>
        <v>0</v>
      </c>
      <c r="H41" s="58"/>
      <c r="I41" s="62" t="s">
        <v>38</v>
      </c>
      <c r="J41" s="55"/>
    </row>
    <row r="42" spans="1:11" s="5" customFormat="1" ht="18.600000000000001">
      <c r="A42" s="120" t="s">
        <v>63</v>
      </c>
      <c r="B42" s="121"/>
      <c r="C42" s="56" t="s">
        <v>37</v>
      </c>
      <c r="D42" s="56">
        <v>0</v>
      </c>
      <c r="E42" s="57">
        <v>0.65</v>
      </c>
      <c r="F42" s="58">
        <f t="shared" si="0"/>
        <v>58.5</v>
      </c>
      <c r="G42" s="58">
        <f t="shared" si="1"/>
        <v>0</v>
      </c>
      <c r="H42" s="58"/>
      <c r="I42" s="62" t="s">
        <v>38</v>
      </c>
      <c r="J42" s="55"/>
    </row>
    <row r="43" spans="1:11" s="5" customFormat="1" ht="18.600000000000001">
      <c r="A43" s="120" t="s">
        <v>64</v>
      </c>
      <c r="B43" s="121"/>
      <c r="C43" s="56" t="s">
        <v>37</v>
      </c>
      <c r="D43" s="56">
        <v>0</v>
      </c>
      <c r="E43" s="57">
        <v>0.6</v>
      </c>
      <c r="F43" s="58">
        <f t="shared" si="0"/>
        <v>54</v>
      </c>
      <c r="G43" s="58">
        <f t="shared" si="1"/>
        <v>0</v>
      </c>
      <c r="H43" s="58"/>
      <c r="I43" s="62" t="s">
        <v>38</v>
      </c>
      <c r="J43" s="55"/>
    </row>
    <row r="44" spans="1:11" s="5" customFormat="1" ht="18.600000000000001">
      <c r="A44" s="65"/>
      <c r="B44" s="66"/>
      <c r="C44" s="56"/>
      <c r="D44" s="56"/>
      <c r="E44" s="57"/>
      <c r="F44" s="58"/>
      <c r="G44" s="67"/>
      <c r="H44" s="67"/>
      <c r="I44" s="62"/>
      <c r="J44" s="55"/>
    </row>
    <row r="45" spans="1:11" s="5" customFormat="1" ht="18.600000000000001">
      <c r="A45" s="124" t="s">
        <v>65</v>
      </c>
      <c r="B45" s="125"/>
      <c r="C45" s="56" t="s">
        <v>66</v>
      </c>
      <c r="D45" s="56">
        <v>0</v>
      </c>
      <c r="E45" s="56">
        <v>325</v>
      </c>
      <c r="F45" s="58">
        <f t="shared" si="0"/>
        <v>29250</v>
      </c>
      <c r="G45" s="67">
        <v>0</v>
      </c>
      <c r="H45" s="67"/>
      <c r="I45" s="62">
        <f>D45*F45</f>
        <v>0</v>
      </c>
      <c r="J45" s="55"/>
      <c r="K45"/>
    </row>
    <row r="46" spans="1:11" s="5" customFormat="1" ht="18.600000000000001">
      <c r="A46" s="124" t="s">
        <v>67</v>
      </c>
      <c r="B46" s="125"/>
      <c r="C46" s="56" t="s">
        <v>66</v>
      </c>
      <c r="D46" s="56">
        <v>0</v>
      </c>
      <c r="E46" s="56">
        <v>175</v>
      </c>
      <c r="F46" s="58">
        <f t="shared" si="0"/>
        <v>15750</v>
      </c>
      <c r="G46" s="58">
        <f>F46*D46</f>
        <v>0</v>
      </c>
      <c r="H46" s="58"/>
      <c r="I46" s="62">
        <v>9999</v>
      </c>
      <c r="J46" s="55"/>
      <c r="K46"/>
    </row>
    <row r="47" spans="1:11" s="5" customFormat="1" ht="18.600000000000001">
      <c r="A47" s="112"/>
      <c r="B47" s="113"/>
      <c r="C47" s="53"/>
      <c r="D47" s="53"/>
      <c r="E47" s="53"/>
      <c r="F47" s="63"/>
      <c r="G47" s="63"/>
      <c r="H47" s="63"/>
      <c r="I47" s="64"/>
      <c r="J47" s="55"/>
    </row>
    <row r="48" spans="1:11" s="5" customFormat="1" ht="18.95" thickBot="1">
      <c r="A48" s="114" t="s">
        <v>68</v>
      </c>
      <c r="B48" s="115"/>
      <c r="C48" s="68"/>
      <c r="D48" s="68"/>
      <c r="E48" s="68"/>
      <c r="F48" s="69"/>
      <c r="G48" s="70">
        <f>SUM(G16:G47)</f>
        <v>0</v>
      </c>
      <c r="H48" s="71"/>
      <c r="I48" s="72">
        <f>SUM(I16:I47)</f>
        <v>14998</v>
      </c>
      <c r="J48" s="55"/>
    </row>
    <row r="49" spans="1:10" s="5" customFormat="1" ht="18.95" thickBot="1">
      <c r="A49" s="111"/>
      <c r="B49" s="111"/>
      <c r="C49" s="111"/>
      <c r="D49" s="111"/>
      <c r="E49" s="111"/>
      <c r="F49" s="111"/>
      <c r="G49" s="111"/>
      <c r="H49" s="111"/>
      <c r="I49" s="111"/>
      <c r="J49" s="55"/>
    </row>
    <row r="50" spans="1:10" s="16" customFormat="1" ht="37.5" thickBot="1">
      <c r="A50" s="152" t="s">
        <v>26</v>
      </c>
      <c r="B50" s="153"/>
      <c r="C50" s="52" t="s">
        <v>27</v>
      </c>
      <c r="D50" s="52" t="s">
        <v>28</v>
      </c>
      <c r="E50" s="52" t="s">
        <v>29</v>
      </c>
      <c r="F50" s="73" t="s">
        <v>69</v>
      </c>
      <c r="G50" s="73" t="s">
        <v>70</v>
      </c>
      <c r="H50" s="73"/>
      <c r="I50" s="73" t="s">
        <v>33</v>
      </c>
      <c r="J50" s="55"/>
    </row>
    <row r="51" spans="1:10" s="5" customFormat="1" ht="18.600000000000001">
      <c r="A51" s="109" t="s">
        <v>71</v>
      </c>
      <c r="B51" s="110"/>
      <c r="C51" s="74" t="s">
        <v>72</v>
      </c>
      <c r="D51" s="56">
        <v>0</v>
      </c>
      <c r="E51" s="56">
        <v>6</v>
      </c>
      <c r="F51" s="58">
        <f t="shared" ref="F51" si="3">E51*$M$9</f>
        <v>540</v>
      </c>
      <c r="G51" s="58">
        <f>F51*D51</f>
        <v>0</v>
      </c>
      <c r="H51" s="58"/>
      <c r="I51" s="62">
        <f>D51*F51</f>
        <v>0</v>
      </c>
      <c r="J51" s="55"/>
    </row>
    <row r="52" spans="1:10" s="5" customFormat="1" ht="18.600000000000001">
      <c r="A52" s="112"/>
      <c r="B52" s="113"/>
      <c r="C52" s="53"/>
      <c r="D52" s="53"/>
      <c r="E52" s="53"/>
      <c r="F52" s="63"/>
      <c r="G52" s="75"/>
      <c r="H52" s="75"/>
      <c r="I52" s="64"/>
      <c r="J52" s="55"/>
    </row>
    <row r="53" spans="1:10" s="5" customFormat="1" ht="18.95" thickBot="1">
      <c r="A53" s="114" t="s">
        <v>73</v>
      </c>
      <c r="B53" s="115"/>
      <c r="C53" s="68"/>
      <c r="D53" s="68"/>
      <c r="E53" s="68"/>
      <c r="F53" s="69"/>
      <c r="G53" s="70">
        <f>SUM(G51:G52)</f>
        <v>0</v>
      </c>
      <c r="H53" s="71"/>
      <c r="I53" s="72">
        <f>SUM(I51:I52)</f>
        <v>0</v>
      </c>
      <c r="J53" s="55"/>
    </row>
    <row r="54" spans="1:10" s="5" customFormat="1" ht="18.95" thickBot="1">
      <c r="A54" s="148"/>
      <c r="B54" s="149"/>
      <c r="C54" s="76"/>
      <c r="D54" s="76"/>
      <c r="E54" s="76"/>
      <c r="F54" s="77"/>
      <c r="G54" s="78"/>
      <c r="H54" s="78"/>
      <c r="I54" s="79"/>
      <c r="J54" s="55"/>
    </row>
    <row r="55" spans="1:10" s="16" customFormat="1" ht="37.5" thickBot="1">
      <c r="A55" s="152" t="s">
        <v>26</v>
      </c>
      <c r="B55" s="153"/>
      <c r="C55" s="52" t="s">
        <v>27</v>
      </c>
      <c r="D55" s="52" t="s">
        <v>28</v>
      </c>
      <c r="E55" s="52" t="s">
        <v>29</v>
      </c>
      <c r="F55" s="73" t="s">
        <v>69</v>
      </c>
      <c r="G55" s="73" t="s">
        <v>70</v>
      </c>
      <c r="H55" s="73"/>
      <c r="I55" s="73" t="s">
        <v>33</v>
      </c>
      <c r="J55" s="55"/>
    </row>
    <row r="56" spans="1:10" s="5" customFormat="1" ht="18.600000000000001">
      <c r="A56" s="109" t="s">
        <v>74</v>
      </c>
      <c r="B56" s="110"/>
      <c r="C56" s="74" t="s">
        <v>75</v>
      </c>
      <c r="D56" s="56">
        <v>0</v>
      </c>
      <c r="E56" s="56">
        <v>62.5</v>
      </c>
      <c r="F56" s="58">
        <f t="shared" ref="F56" si="4">E56*$M$9</f>
        <v>5625</v>
      </c>
      <c r="G56" s="58">
        <f>F56*D56</f>
        <v>0</v>
      </c>
      <c r="H56" s="58"/>
      <c r="I56" s="62">
        <v>9999</v>
      </c>
      <c r="J56" s="55"/>
    </row>
    <row r="57" spans="1:10" s="5" customFormat="1" ht="18.600000000000001">
      <c r="A57" s="112"/>
      <c r="B57" s="113"/>
      <c r="C57" s="53"/>
      <c r="D57" s="53"/>
      <c r="E57" s="53"/>
      <c r="F57" s="63"/>
      <c r="G57" s="75"/>
      <c r="H57" s="75"/>
      <c r="I57" s="64"/>
      <c r="J57" s="55"/>
    </row>
    <row r="58" spans="1:10" s="5" customFormat="1" ht="18.95" thickBot="1">
      <c r="A58" s="114" t="s">
        <v>76</v>
      </c>
      <c r="B58" s="115"/>
      <c r="C58" s="68"/>
      <c r="D58" s="68"/>
      <c r="E58" s="68"/>
      <c r="F58" s="69"/>
      <c r="G58" s="70">
        <f>SUM(G56:G57)</f>
        <v>0</v>
      </c>
      <c r="H58" s="71"/>
      <c r="I58" s="72">
        <f>SUM(I56:I57)</f>
        <v>9999</v>
      </c>
      <c r="J58" s="55"/>
    </row>
    <row r="59" spans="1:10" s="5" customFormat="1" ht="18.95" thickBot="1">
      <c r="A59" s="156"/>
      <c r="B59" s="157"/>
      <c r="C59" s="76"/>
      <c r="D59" s="76"/>
      <c r="E59" s="76"/>
      <c r="F59" s="77"/>
      <c r="G59" s="78"/>
      <c r="H59" s="78"/>
      <c r="I59" s="79"/>
      <c r="J59" s="55"/>
    </row>
    <row r="60" spans="1:10" s="16" customFormat="1" ht="37.5" thickBot="1">
      <c r="A60" s="152" t="s">
        <v>26</v>
      </c>
      <c r="B60" s="153"/>
      <c r="C60" s="52" t="s">
        <v>27</v>
      </c>
      <c r="D60" s="52" t="s">
        <v>28</v>
      </c>
      <c r="E60" s="52" t="s">
        <v>29</v>
      </c>
      <c r="F60" s="73" t="s">
        <v>69</v>
      </c>
      <c r="G60" s="73" t="s">
        <v>70</v>
      </c>
      <c r="H60" s="73"/>
      <c r="I60" s="73" t="s">
        <v>33</v>
      </c>
      <c r="J60" s="55"/>
    </row>
    <row r="61" spans="1:10" s="5" customFormat="1" ht="18.600000000000001">
      <c r="A61" s="158" t="s">
        <v>77</v>
      </c>
      <c r="B61" s="159"/>
      <c r="C61" s="80"/>
      <c r="D61" s="80"/>
      <c r="E61" s="80"/>
      <c r="F61" s="81"/>
      <c r="G61" s="82"/>
      <c r="H61" s="82"/>
      <c r="I61" s="83"/>
      <c r="J61" s="55"/>
    </row>
    <row r="62" spans="1:10" s="5" customFormat="1" ht="18.600000000000001">
      <c r="A62" s="150" t="s">
        <v>78</v>
      </c>
      <c r="B62" s="151"/>
      <c r="C62" s="84" t="s">
        <v>37</v>
      </c>
      <c r="D62" s="56">
        <v>0</v>
      </c>
      <c r="E62" s="56">
        <v>125</v>
      </c>
      <c r="F62" s="58">
        <f t="shared" ref="F62" si="5">E62*$M$9</f>
        <v>11250</v>
      </c>
      <c r="G62" s="58">
        <f t="shared" ref="G62:G70" si="6">F62*D62</f>
        <v>0</v>
      </c>
      <c r="H62" s="58"/>
      <c r="I62" s="62">
        <f>(D62*200)*M9</f>
        <v>0</v>
      </c>
      <c r="J62" s="85" t="s">
        <v>79</v>
      </c>
    </row>
    <row r="63" spans="1:10" s="5" customFormat="1" ht="18.600000000000001">
      <c r="A63" s="150" t="s">
        <v>80</v>
      </c>
      <c r="B63" s="151"/>
      <c r="C63" s="84" t="s">
        <v>37</v>
      </c>
      <c r="D63" s="56">
        <v>0</v>
      </c>
      <c r="E63" s="56">
        <v>200</v>
      </c>
      <c r="F63" s="58">
        <f t="shared" ref="F63:F70" si="7">E63*$M$9</f>
        <v>18000</v>
      </c>
      <c r="G63" s="58">
        <f t="shared" si="6"/>
        <v>0</v>
      </c>
      <c r="H63" s="58"/>
      <c r="I63" s="62">
        <f>(D63*200)*M10</f>
        <v>0</v>
      </c>
      <c r="J63" s="85"/>
    </row>
    <row r="64" spans="1:10" s="5" customFormat="1" ht="18.600000000000001">
      <c r="A64" s="150" t="s">
        <v>81</v>
      </c>
      <c r="B64" s="151"/>
      <c r="C64" s="74" t="s">
        <v>37</v>
      </c>
      <c r="D64" s="56">
        <v>0</v>
      </c>
      <c r="E64" s="56">
        <v>250</v>
      </c>
      <c r="F64" s="58">
        <f t="shared" si="7"/>
        <v>22500</v>
      </c>
      <c r="G64" s="58">
        <f t="shared" si="6"/>
        <v>0</v>
      </c>
      <c r="H64" s="58"/>
      <c r="I64" s="62">
        <f>(D64*200)*M10</f>
        <v>0</v>
      </c>
      <c r="J64" s="85"/>
    </row>
    <row r="65" spans="1:10" s="5" customFormat="1" ht="18.600000000000001">
      <c r="A65" s="150" t="s">
        <v>82</v>
      </c>
      <c r="B65" s="151"/>
      <c r="C65" s="74" t="s">
        <v>37</v>
      </c>
      <c r="D65" s="56">
        <v>0</v>
      </c>
      <c r="E65" s="56">
        <v>300</v>
      </c>
      <c r="F65" s="58">
        <f t="shared" si="7"/>
        <v>27000</v>
      </c>
      <c r="G65" s="58">
        <f t="shared" si="6"/>
        <v>0</v>
      </c>
      <c r="H65" s="58"/>
      <c r="I65" s="62">
        <f>(D65*200)*M10</f>
        <v>0</v>
      </c>
      <c r="J65" s="85"/>
    </row>
    <row r="66" spans="1:10" s="5" customFormat="1" ht="18.600000000000001">
      <c r="A66" s="150" t="s">
        <v>83</v>
      </c>
      <c r="B66" s="151"/>
      <c r="C66" s="74" t="s">
        <v>37</v>
      </c>
      <c r="D66" s="56">
        <v>0</v>
      </c>
      <c r="E66" s="56">
        <v>300</v>
      </c>
      <c r="F66" s="58">
        <f t="shared" si="7"/>
        <v>27000</v>
      </c>
      <c r="G66" s="58">
        <f t="shared" si="6"/>
        <v>0</v>
      </c>
      <c r="H66" s="58"/>
      <c r="I66" s="62">
        <f>(D66*200)*M11</f>
        <v>0</v>
      </c>
      <c r="J66" s="85" t="s">
        <v>84</v>
      </c>
    </row>
    <row r="67" spans="1:10" s="5" customFormat="1" ht="18.600000000000001">
      <c r="A67" s="150" t="s">
        <v>85</v>
      </c>
      <c r="B67" s="151">
        <v>0</v>
      </c>
      <c r="C67" s="84" t="s">
        <v>37</v>
      </c>
      <c r="D67" s="56">
        <v>0</v>
      </c>
      <c r="E67" s="56">
        <v>400</v>
      </c>
      <c r="F67" s="58">
        <f t="shared" si="7"/>
        <v>36000</v>
      </c>
      <c r="G67" s="58">
        <f t="shared" si="6"/>
        <v>0</v>
      </c>
      <c r="H67" s="58"/>
      <c r="I67" s="62">
        <f>(D67*200)*M10</f>
        <v>0</v>
      </c>
      <c r="J67" s="55"/>
    </row>
    <row r="68" spans="1:10" s="5" customFormat="1" ht="18.600000000000001">
      <c r="A68" s="150" t="s">
        <v>86</v>
      </c>
      <c r="B68" s="151">
        <v>0</v>
      </c>
      <c r="C68" s="74" t="s">
        <v>37</v>
      </c>
      <c r="D68" s="56">
        <v>0</v>
      </c>
      <c r="E68" s="56">
        <v>500</v>
      </c>
      <c r="F68" s="58">
        <f t="shared" si="7"/>
        <v>45000</v>
      </c>
      <c r="G68" s="58">
        <f t="shared" si="6"/>
        <v>0</v>
      </c>
      <c r="H68" s="58"/>
      <c r="I68" s="62">
        <f>(D68*200)*M10</f>
        <v>0</v>
      </c>
      <c r="J68" s="55"/>
    </row>
    <row r="69" spans="1:10" s="5" customFormat="1" ht="18.600000000000001">
      <c r="A69" s="150" t="s">
        <v>87</v>
      </c>
      <c r="B69" s="151">
        <v>0</v>
      </c>
      <c r="C69" s="74" t="s">
        <v>37</v>
      </c>
      <c r="D69" s="56">
        <v>0</v>
      </c>
      <c r="E69" s="56">
        <v>600</v>
      </c>
      <c r="F69" s="58">
        <f>E69*$M$9</f>
        <v>54000</v>
      </c>
      <c r="G69" s="58">
        <f t="shared" si="6"/>
        <v>0</v>
      </c>
      <c r="H69" s="58"/>
      <c r="I69" s="62">
        <f>(D69*200)*M10</f>
        <v>0</v>
      </c>
      <c r="J69" s="55"/>
    </row>
    <row r="70" spans="1:10" s="5" customFormat="1" ht="18.600000000000001">
      <c r="A70" s="150" t="s">
        <v>88</v>
      </c>
      <c r="B70" s="151">
        <v>0</v>
      </c>
      <c r="C70" s="74" t="s">
        <v>37</v>
      </c>
      <c r="D70" s="56">
        <v>0</v>
      </c>
      <c r="E70" s="56">
        <v>700</v>
      </c>
      <c r="F70" s="58">
        <f t="shared" si="7"/>
        <v>63000</v>
      </c>
      <c r="G70" s="58">
        <f t="shared" si="6"/>
        <v>0</v>
      </c>
      <c r="H70" s="58"/>
      <c r="I70" s="62">
        <f>(D70*200)*M10</f>
        <v>0</v>
      </c>
      <c r="J70" s="55"/>
    </row>
    <row r="71" spans="1:10" s="5" customFormat="1" ht="18.600000000000001">
      <c r="A71" s="150"/>
      <c r="B71" s="151"/>
      <c r="C71" s="53"/>
      <c r="D71" s="53"/>
      <c r="E71" s="53"/>
      <c r="F71" s="63"/>
      <c r="G71" s="75"/>
      <c r="H71" s="75"/>
      <c r="I71" s="64"/>
      <c r="J71" s="55"/>
    </row>
    <row r="72" spans="1:10" s="5" customFormat="1" ht="18.95" thickBot="1">
      <c r="A72" s="114" t="s">
        <v>89</v>
      </c>
      <c r="B72" s="115"/>
      <c r="C72" s="68"/>
      <c r="D72" s="68"/>
      <c r="E72" s="68"/>
      <c r="F72" s="69"/>
      <c r="G72" s="70">
        <f>SUM(G61:G71)</f>
        <v>0</v>
      </c>
      <c r="H72" s="71"/>
      <c r="I72" s="72">
        <f>SUM(I61:I71)</f>
        <v>0</v>
      </c>
      <c r="J72" s="55"/>
    </row>
    <row r="73" spans="1:10" s="5" customFormat="1" ht="18.95" thickBot="1">
      <c r="A73" s="86"/>
      <c r="B73" s="53"/>
      <c r="C73" s="53"/>
      <c r="D73" s="53"/>
      <c r="E73" s="53"/>
      <c r="F73" s="63"/>
      <c r="G73" s="75"/>
      <c r="H73" s="75"/>
      <c r="I73" s="64"/>
      <c r="J73" s="55"/>
    </row>
    <row r="74" spans="1:10" s="16" customFormat="1" ht="37.5" thickBot="1">
      <c r="A74" s="152" t="s">
        <v>26</v>
      </c>
      <c r="B74" s="153"/>
      <c r="C74" s="52" t="s">
        <v>27</v>
      </c>
      <c r="D74" s="52" t="s">
        <v>28</v>
      </c>
      <c r="E74" s="52" t="s">
        <v>29</v>
      </c>
      <c r="F74" s="73" t="s">
        <v>69</v>
      </c>
      <c r="G74" s="52" t="s">
        <v>31</v>
      </c>
      <c r="H74" s="73"/>
      <c r="I74" s="73" t="s">
        <v>33</v>
      </c>
      <c r="J74" s="55"/>
    </row>
    <row r="75" spans="1:10" s="5" customFormat="1" ht="18.600000000000001">
      <c r="A75" s="154" t="s">
        <v>90</v>
      </c>
      <c r="B75" s="155"/>
      <c r="C75" s="84" t="s">
        <v>75</v>
      </c>
      <c r="D75" s="56">
        <v>0</v>
      </c>
      <c r="E75" s="87">
        <v>13</v>
      </c>
      <c r="F75" s="58">
        <f t="shared" ref="F75:F78" si="8">E75*$M$9</f>
        <v>1170</v>
      </c>
      <c r="G75" s="58">
        <f t="shared" ref="G75:G78" si="9">F75*D75</f>
        <v>0</v>
      </c>
      <c r="H75" s="58"/>
      <c r="I75" s="62">
        <f t="shared" ref="I75:I78" si="10">(D75*200)*M15</f>
        <v>0</v>
      </c>
      <c r="J75" s="88"/>
    </row>
    <row r="76" spans="1:10" s="5" customFormat="1" ht="19.7" customHeight="1">
      <c r="A76" s="150" t="s">
        <v>91</v>
      </c>
      <c r="B76" s="151"/>
      <c r="C76" s="84" t="s">
        <v>53</v>
      </c>
      <c r="D76" s="56">
        <v>0</v>
      </c>
      <c r="E76" s="87">
        <v>125</v>
      </c>
      <c r="F76" s="58">
        <f t="shared" ref="F76" si="11">E76*$M$9</f>
        <v>11250</v>
      </c>
      <c r="G76" s="58">
        <f t="shared" si="9"/>
        <v>0</v>
      </c>
      <c r="H76" s="58"/>
      <c r="I76" s="62">
        <f t="shared" si="10"/>
        <v>0</v>
      </c>
      <c r="J76" s="88"/>
    </row>
    <row r="77" spans="1:10" s="5" customFormat="1" ht="18.600000000000001">
      <c r="A77" s="150" t="s">
        <v>92</v>
      </c>
      <c r="B77" s="151"/>
      <c r="C77" s="84" t="s">
        <v>37</v>
      </c>
      <c r="D77" s="56">
        <v>0</v>
      </c>
      <c r="E77" s="87">
        <v>3</v>
      </c>
      <c r="F77" s="58">
        <f t="shared" si="8"/>
        <v>270</v>
      </c>
      <c r="G77" s="58">
        <f t="shared" si="9"/>
        <v>0</v>
      </c>
      <c r="H77" s="58"/>
      <c r="I77" s="62">
        <f t="shared" si="10"/>
        <v>0</v>
      </c>
      <c r="J77" s="88"/>
    </row>
    <row r="78" spans="1:10" s="5" customFormat="1" ht="18.600000000000001">
      <c r="A78" s="150" t="s">
        <v>93</v>
      </c>
      <c r="B78" s="151"/>
      <c r="C78" s="84" t="s">
        <v>37</v>
      </c>
      <c r="D78" s="56">
        <v>0</v>
      </c>
      <c r="E78" s="87">
        <v>1</v>
      </c>
      <c r="F78" s="58">
        <f t="shared" si="8"/>
        <v>90</v>
      </c>
      <c r="G78" s="58">
        <f t="shared" si="9"/>
        <v>0</v>
      </c>
      <c r="H78" s="58"/>
      <c r="I78" s="62">
        <f t="shared" si="10"/>
        <v>0</v>
      </c>
      <c r="J78" s="88"/>
    </row>
    <row r="79" spans="1:10" s="5" customFormat="1" ht="18.600000000000001">
      <c r="A79" s="150" t="s">
        <v>94</v>
      </c>
      <c r="B79" s="151"/>
      <c r="C79" s="84" t="s">
        <v>57</v>
      </c>
      <c r="D79" s="56">
        <v>0</v>
      </c>
      <c r="E79" s="87">
        <v>0.25</v>
      </c>
      <c r="F79" s="58">
        <f t="shared" ref="F79" si="12">E79*$M$9</f>
        <v>22.5</v>
      </c>
      <c r="G79" s="58">
        <f t="shared" ref="G79" si="13">F79*D79</f>
        <v>0</v>
      </c>
      <c r="H79" s="58"/>
      <c r="I79" s="62">
        <f t="shared" ref="I79" si="14">(D79*200)*M19</f>
        <v>0</v>
      </c>
      <c r="J79" s="88"/>
    </row>
    <row r="80" spans="1:10" s="5" customFormat="1" ht="18.600000000000001">
      <c r="A80" s="89"/>
      <c r="B80" s="90"/>
      <c r="C80" s="90"/>
      <c r="D80" s="90"/>
      <c r="E80" s="90"/>
      <c r="F80" s="91"/>
      <c r="G80" s="92"/>
      <c r="H80" s="92"/>
      <c r="I80" s="93"/>
      <c r="J80" s="88"/>
    </row>
    <row r="81" spans="1:10" s="5" customFormat="1" ht="18.95" thickBot="1">
      <c r="A81" s="94" t="s">
        <v>95</v>
      </c>
      <c r="B81" s="68"/>
      <c r="C81" s="68"/>
      <c r="D81" s="68"/>
      <c r="E81" s="68"/>
      <c r="F81" s="69"/>
      <c r="G81" s="70">
        <f>SUM(G75:G80)</f>
        <v>0</v>
      </c>
      <c r="H81" s="70"/>
      <c r="I81" s="70">
        <f>SUM(I75:I80)</f>
        <v>0</v>
      </c>
      <c r="J81" s="95"/>
    </row>
    <row r="82" spans="1:10" s="5" customFormat="1" ht="18.600000000000001">
      <c r="A82" s="96"/>
      <c r="B82" s="96"/>
      <c r="C82" s="96"/>
      <c r="D82" s="96"/>
      <c r="E82" s="96"/>
      <c r="F82" s="97"/>
      <c r="G82" s="98"/>
      <c r="H82" s="98"/>
      <c r="I82" s="97"/>
      <c r="J82" s="95"/>
    </row>
    <row r="83" spans="1:10" s="5" customFormat="1" ht="18.600000000000001">
      <c r="A83" s="99" t="s">
        <v>96</v>
      </c>
      <c r="B83" s="53"/>
      <c r="C83" s="53"/>
      <c r="D83" s="53"/>
      <c r="E83" s="53"/>
      <c r="F83" s="63"/>
      <c r="G83" s="100">
        <f>G48+G53+G58+G72+G81</f>
        <v>0</v>
      </c>
      <c r="H83" s="100"/>
      <c r="I83" s="100"/>
      <c r="J83" s="95"/>
    </row>
    <row r="84" spans="1:10" s="5" customFormat="1" ht="18.600000000000001">
      <c r="A84" s="96" t="s">
        <v>97</v>
      </c>
      <c r="B84" s="96"/>
      <c r="C84" s="96"/>
      <c r="D84" s="96"/>
      <c r="E84" s="96"/>
      <c r="F84" s="97"/>
      <c r="G84" s="101">
        <v>1</v>
      </c>
      <c r="H84" s="101"/>
      <c r="I84" s="98"/>
      <c r="J84" s="95"/>
    </row>
    <row r="85" spans="1:10" s="5" customFormat="1" ht="18.95" thickBot="1">
      <c r="A85" s="102" t="s">
        <v>98</v>
      </c>
      <c r="B85" s="102"/>
      <c r="C85" s="102"/>
      <c r="D85" s="102"/>
      <c r="E85" s="102"/>
      <c r="F85" s="103"/>
      <c r="G85" s="100">
        <f>G83*G84</f>
        <v>0</v>
      </c>
      <c r="H85" s="100"/>
      <c r="I85" s="100">
        <v>4999</v>
      </c>
      <c r="J85" s="95"/>
    </row>
    <row r="86" spans="1:10" s="5" customFormat="1" ht="19.5" thickTop="1" thickBot="1">
      <c r="A86" s="104" t="s">
        <v>99</v>
      </c>
      <c r="B86" s="105"/>
      <c r="C86" s="105"/>
      <c r="D86" s="105"/>
      <c r="E86" s="105"/>
      <c r="F86" s="106"/>
      <c r="G86" s="107">
        <f>G85-(G85*M10)</f>
        <v>0</v>
      </c>
      <c r="H86" s="107"/>
      <c r="I86" s="107">
        <f>I85-(I85*M10)</f>
        <v>4249.1499999999996</v>
      </c>
      <c r="J86" s="108"/>
    </row>
    <row r="87" spans="1:10" s="5" customFormat="1" ht="15.95" thickBot="1">
      <c r="A87" s="38"/>
      <c r="B87" s="39"/>
      <c r="C87" s="39"/>
      <c r="D87" s="39"/>
      <c r="E87" s="39"/>
      <c r="F87" s="40"/>
      <c r="G87" s="41"/>
      <c r="H87" s="41"/>
      <c r="I87" s="41"/>
      <c r="J87" s="42"/>
    </row>
    <row r="88" spans="1:10" s="5" customFormat="1" ht="15.95" thickBot="1">
      <c r="A88" s="43" t="s">
        <v>100</v>
      </c>
      <c r="B88" s="44"/>
      <c r="C88" s="44"/>
      <c r="D88" s="44"/>
      <c r="E88" s="44"/>
      <c r="F88" s="44"/>
      <c r="G88" s="44"/>
      <c r="H88" s="44"/>
      <c r="I88" s="44"/>
      <c r="J88" s="45"/>
    </row>
    <row r="89" spans="1:10" ht="15.95" thickBot="1">
      <c r="A89" s="142" t="s">
        <v>101</v>
      </c>
      <c r="B89" s="143"/>
      <c r="C89" s="143"/>
      <c r="D89" s="143"/>
      <c r="E89" s="143"/>
      <c r="F89" s="143"/>
      <c r="G89" s="143"/>
      <c r="H89" s="143"/>
      <c r="I89" s="143"/>
      <c r="J89" s="144"/>
    </row>
    <row r="90" spans="1:10" ht="15.6">
      <c r="A90" s="46" t="s">
        <v>102</v>
      </c>
      <c r="B90" s="47"/>
      <c r="C90" s="47"/>
      <c r="D90" s="47"/>
      <c r="E90" s="47"/>
      <c r="F90" s="47"/>
      <c r="G90" s="47"/>
      <c r="H90" s="47"/>
      <c r="I90" s="47"/>
      <c r="J90" s="48"/>
    </row>
    <row r="91" spans="1:10" ht="15.95" thickBot="1">
      <c r="A91" s="49" t="s">
        <v>103</v>
      </c>
      <c r="B91" s="50"/>
      <c r="C91" s="50"/>
      <c r="D91" s="50"/>
      <c r="E91" s="50"/>
      <c r="F91" s="50"/>
      <c r="G91" s="50"/>
      <c r="H91" s="50"/>
      <c r="I91" s="50"/>
      <c r="J91" s="51"/>
    </row>
    <row r="92" spans="1:10" ht="15.95" thickBot="1">
      <c r="A92" s="49" t="s">
        <v>104</v>
      </c>
      <c r="B92" s="50"/>
      <c r="C92" s="50"/>
      <c r="D92" s="50"/>
      <c r="E92" s="50"/>
      <c r="F92" s="50"/>
      <c r="G92" s="50"/>
      <c r="H92" s="50"/>
      <c r="I92" s="50"/>
      <c r="J92" s="51"/>
    </row>
    <row r="93" spans="1:10" ht="15.95" thickBot="1">
      <c r="A93" s="49"/>
      <c r="B93" s="50"/>
      <c r="C93" s="50"/>
      <c r="D93" s="50"/>
      <c r="E93" s="50"/>
      <c r="F93" s="50"/>
      <c r="G93" s="50"/>
      <c r="H93" s="50"/>
      <c r="I93" s="50"/>
      <c r="J93" s="51"/>
    </row>
    <row r="94" spans="1:10" ht="15.95" thickBot="1">
      <c r="A94" s="142" t="s">
        <v>105</v>
      </c>
      <c r="B94" s="143"/>
      <c r="C94" s="143"/>
      <c r="D94" s="143"/>
      <c r="E94" s="143"/>
      <c r="F94" s="143"/>
      <c r="G94" s="143"/>
      <c r="H94" s="143"/>
      <c r="I94" s="143"/>
      <c r="J94" s="144"/>
    </row>
    <row r="95" spans="1:10" ht="15.6">
      <c r="A95" s="136" t="s">
        <v>106</v>
      </c>
      <c r="B95" s="137"/>
      <c r="C95" s="137"/>
      <c r="D95" s="137"/>
      <c r="E95" s="137"/>
      <c r="F95" s="137"/>
      <c r="G95" s="137"/>
      <c r="H95" s="137"/>
      <c r="I95" s="137"/>
      <c r="J95" s="138"/>
    </row>
    <row r="96" spans="1:10" ht="15.6">
      <c r="A96" s="136" t="s">
        <v>107</v>
      </c>
      <c r="B96" s="137"/>
      <c r="C96" s="137"/>
      <c r="D96" s="137"/>
      <c r="E96" s="137"/>
      <c r="F96" s="137"/>
      <c r="G96" s="137"/>
      <c r="H96" s="137"/>
      <c r="I96" s="137"/>
      <c r="J96" s="138"/>
    </row>
    <row r="97" spans="1:10" ht="15.6">
      <c r="A97" s="136" t="s">
        <v>108</v>
      </c>
      <c r="B97" s="137"/>
      <c r="C97" s="137"/>
      <c r="D97" s="137"/>
      <c r="E97" s="137"/>
      <c r="F97" s="137"/>
      <c r="G97" s="137"/>
      <c r="H97" s="137"/>
      <c r="I97" s="137"/>
      <c r="J97" s="138"/>
    </row>
    <row r="98" spans="1:10" ht="15.6">
      <c r="A98" s="136" t="s">
        <v>109</v>
      </c>
      <c r="B98" s="137"/>
      <c r="C98" s="137"/>
      <c r="D98" s="137"/>
      <c r="E98" s="137"/>
      <c r="F98" s="137"/>
      <c r="G98" s="137"/>
      <c r="H98" s="137"/>
      <c r="I98" s="137"/>
      <c r="J98" s="138"/>
    </row>
    <row r="99" spans="1:10" ht="15.6">
      <c r="A99" s="136" t="s">
        <v>110</v>
      </c>
      <c r="B99" s="137"/>
      <c r="C99" s="137"/>
      <c r="D99" s="137"/>
      <c r="E99" s="137"/>
      <c r="F99" s="137"/>
      <c r="G99" s="137"/>
      <c r="H99" s="137"/>
      <c r="I99" s="137"/>
      <c r="J99" s="138"/>
    </row>
    <row r="100" spans="1:10" ht="15.6">
      <c r="A100" s="136" t="s">
        <v>111</v>
      </c>
      <c r="B100" s="137"/>
      <c r="C100" s="137"/>
      <c r="D100" s="137"/>
      <c r="E100" s="137"/>
      <c r="F100" s="137"/>
      <c r="G100" s="137"/>
      <c r="H100" s="137"/>
      <c r="I100" s="137"/>
      <c r="J100" s="138"/>
    </row>
    <row r="101" spans="1:10" ht="15.6">
      <c r="A101" s="136" t="s">
        <v>112</v>
      </c>
      <c r="B101" s="137"/>
      <c r="C101" s="137"/>
      <c r="D101" s="137"/>
      <c r="E101" s="137"/>
      <c r="F101" s="137"/>
      <c r="G101" s="137"/>
      <c r="H101" s="137"/>
      <c r="I101" s="137"/>
      <c r="J101" s="138"/>
    </row>
    <row r="102" spans="1:10" ht="15.6">
      <c r="A102" s="136" t="s">
        <v>113</v>
      </c>
      <c r="B102" s="137"/>
      <c r="C102" s="137"/>
      <c r="D102" s="137"/>
      <c r="E102" s="137"/>
      <c r="F102" s="137"/>
      <c r="G102" s="137"/>
      <c r="H102" s="137"/>
      <c r="I102" s="137"/>
      <c r="J102" s="138"/>
    </row>
    <row r="103" spans="1:10" ht="15.95" thickBot="1">
      <c r="A103" s="145"/>
      <c r="B103" s="146"/>
      <c r="C103" s="146"/>
      <c r="D103" s="146"/>
      <c r="E103" s="146"/>
      <c r="F103" s="146"/>
      <c r="G103" s="146"/>
      <c r="H103" s="146"/>
      <c r="I103" s="146"/>
      <c r="J103" s="147"/>
    </row>
    <row r="104" spans="1:10" ht="15.95" thickBot="1">
      <c r="A104" s="142" t="s">
        <v>114</v>
      </c>
      <c r="B104" s="143"/>
      <c r="C104" s="143"/>
      <c r="D104" s="143"/>
      <c r="E104" s="143"/>
      <c r="F104" s="143"/>
      <c r="G104" s="143"/>
      <c r="H104" s="143"/>
      <c r="I104" s="143"/>
      <c r="J104" s="144"/>
    </row>
    <row r="105" spans="1:10" ht="15.6">
      <c r="A105" s="136" t="s">
        <v>115</v>
      </c>
      <c r="B105" s="137"/>
      <c r="C105" s="137"/>
      <c r="D105" s="137"/>
      <c r="E105" s="137"/>
      <c r="F105" s="137"/>
      <c r="G105" s="137"/>
      <c r="H105" s="137"/>
      <c r="I105" s="137"/>
      <c r="J105" s="138"/>
    </row>
    <row r="106" spans="1:10" ht="15.6">
      <c r="A106" s="136" t="s">
        <v>116</v>
      </c>
      <c r="B106" s="137"/>
      <c r="C106" s="137"/>
      <c r="D106" s="137"/>
      <c r="E106" s="137"/>
      <c r="F106" s="137"/>
      <c r="G106" s="137"/>
      <c r="H106" s="137"/>
      <c r="I106" s="137"/>
      <c r="J106" s="138"/>
    </row>
    <row r="107" spans="1:10" ht="15.6">
      <c r="A107" s="136" t="s">
        <v>117</v>
      </c>
      <c r="B107" s="137"/>
      <c r="C107" s="137"/>
      <c r="D107" s="137"/>
      <c r="E107" s="137"/>
      <c r="F107" s="137"/>
      <c r="G107" s="137"/>
      <c r="H107" s="137"/>
      <c r="I107" s="137"/>
      <c r="J107" s="138"/>
    </row>
    <row r="108" spans="1:10" ht="15.6">
      <c r="A108" s="136" t="s">
        <v>118</v>
      </c>
      <c r="B108" s="137"/>
      <c r="C108" s="137"/>
      <c r="D108" s="137"/>
      <c r="E108" s="137"/>
      <c r="F108" s="137"/>
      <c r="G108" s="137"/>
      <c r="H108" s="137"/>
      <c r="I108" s="137"/>
      <c r="J108" s="138"/>
    </row>
    <row r="109" spans="1:10" ht="15.6">
      <c r="A109" s="136" t="s">
        <v>119</v>
      </c>
      <c r="B109" s="137"/>
      <c r="C109" s="137"/>
      <c r="D109" s="137"/>
      <c r="E109" s="137"/>
      <c r="F109" s="137"/>
      <c r="G109" s="137"/>
      <c r="H109" s="137"/>
      <c r="I109" s="137"/>
      <c r="J109" s="138"/>
    </row>
    <row r="110" spans="1:10" ht="15.6">
      <c r="A110" s="136" t="s">
        <v>120</v>
      </c>
      <c r="B110" s="137"/>
      <c r="C110" s="137"/>
      <c r="D110" s="137"/>
      <c r="E110" s="137"/>
      <c r="F110" s="137"/>
      <c r="G110" s="137"/>
      <c r="H110" s="137"/>
      <c r="I110" s="137"/>
      <c r="J110" s="138"/>
    </row>
    <row r="111" spans="1:10" ht="15.6">
      <c r="A111" s="136" t="s">
        <v>121</v>
      </c>
      <c r="B111" s="137"/>
      <c r="C111" s="137"/>
      <c r="D111" s="137"/>
      <c r="E111" s="137"/>
      <c r="F111" s="137"/>
      <c r="G111" s="137"/>
      <c r="H111" s="137"/>
      <c r="I111" s="137"/>
      <c r="J111" s="138"/>
    </row>
    <row r="112" spans="1:10" ht="15.6">
      <c r="A112" s="136" t="s">
        <v>122</v>
      </c>
      <c r="B112" s="137"/>
      <c r="C112" s="137"/>
      <c r="D112" s="137"/>
      <c r="E112" s="137"/>
      <c r="F112" s="137"/>
      <c r="G112" s="137"/>
      <c r="H112" s="137"/>
      <c r="I112" s="137"/>
      <c r="J112" s="138"/>
    </row>
    <row r="113" spans="1:10" ht="15.6">
      <c r="A113" s="136" t="s">
        <v>123</v>
      </c>
      <c r="B113" s="137"/>
      <c r="C113" s="137"/>
      <c r="D113" s="137"/>
      <c r="E113" s="137"/>
      <c r="F113" s="137"/>
      <c r="G113" s="137"/>
      <c r="H113" s="137"/>
      <c r="I113" s="137"/>
      <c r="J113" s="138"/>
    </row>
    <row r="114" spans="1:10" ht="15.6">
      <c r="A114" s="136" t="s">
        <v>124</v>
      </c>
      <c r="B114" s="137"/>
      <c r="C114" s="137"/>
      <c r="D114" s="137"/>
      <c r="E114" s="137"/>
      <c r="F114" s="137"/>
      <c r="G114" s="137"/>
      <c r="H114" s="137"/>
      <c r="I114" s="137"/>
      <c r="J114" s="138"/>
    </row>
    <row r="115" spans="1:10" ht="15.6">
      <c r="A115" s="136" t="s">
        <v>125</v>
      </c>
      <c r="B115" s="137"/>
      <c r="C115" s="137"/>
      <c r="D115" s="137"/>
      <c r="E115" s="137"/>
      <c r="F115" s="137"/>
      <c r="G115" s="137"/>
      <c r="H115" s="137"/>
      <c r="I115" s="137"/>
      <c r="J115" s="138"/>
    </row>
    <row r="116" spans="1:10" ht="15.6">
      <c r="A116" s="136" t="s">
        <v>126</v>
      </c>
      <c r="B116" s="137"/>
      <c r="C116" s="137"/>
      <c r="D116" s="137"/>
      <c r="E116" s="137"/>
      <c r="F116" s="137"/>
      <c r="G116" s="137"/>
      <c r="H116" s="137"/>
      <c r="I116" s="137"/>
      <c r="J116" s="138"/>
    </row>
    <row r="117" spans="1:10" ht="15.6">
      <c r="A117" s="136" t="s">
        <v>127</v>
      </c>
      <c r="B117" s="137"/>
      <c r="C117" s="137"/>
      <c r="D117" s="137"/>
      <c r="E117" s="137"/>
      <c r="F117" s="137"/>
      <c r="G117" s="137"/>
      <c r="H117" s="137"/>
      <c r="I117" s="137"/>
      <c r="J117" s="138"/>
    </row>
    <row r="118" spans="1:10" ht="15.6">
      <c r="A118" s="136" t="s">
        <v>128</v>
      </c>
      <c r="B118" s="137"/>
      <c r="C118" s="137"/>
      <c r="D118" s="137"/>
      <c r="E118" s="137"/>
      <c r="F118" s="137"/>
      <c r="G118" s="137"/>
      <c r="H118" s="137"/>
      <c r="I118" s="137"/>
      <c r="J118" s="138"/>
    </row>
    <row r="119" spans="1:10" ht="15.6">
      <c r="A119" s="136" t="s">
        <v>129</v>
      </c>
      <c r="B119" s="137"/>
      <c r="C119" s="137"/>
      <c r="D119" s="137"/>
      <c r="E119" s="137"/>
      <c r="F119" s="137"/>
      <c r="G119" s="137"/>
      <c r="H119" s="137"/>
      <c r="I119" s="137"/>
      <c r="J119" s="138"/>
    </row>
    <row r="120" spans="1:10" ht="15.95" thickBot="1">
      <c r="A120" s="139" t="s">
        <v>130</v>
      </c>
      <c r="B120" s="140"/>
      <c r="C120" s="140"/>
      <c r="D120" s="140"/>
      <c r="E120" s="140"/>
      <c r="F120" s="140"/>
      <c r="G120" s="140"/>
      <c r="H120" s="140"/>
      <c r="I120" s="140"/>
      <c r="J120" s="141"/>
    </row>
  </sheetData>
  <mergeCells count="113">
    <mergeCell ref="A63:B63"/>
    <mergeCell ref="A64:B64"/>
    <mergeCell ref="A65:B65"/>
    <mergeCell ref="A67:B67"/>
    <mergeCell ref="A68:B68"/>
    <mergeCell ref="A69:B69"/>
    <mergeCell ref="A70:B70"/>
    <mergeCell ref="A79:B79"/>
    <mergeCell ref="A1:G2"/>
    <mergeCell ref="A3:G3"/>
    <mergeCell ref="A5:G5"/>
    <mergeCell ref="A4:G4"/>
    <mergeCell ref="A16:B16"/>
    <mergeCell ref="A12:J13"/>
    <mergeCell ref="I1:J5"/>
    <mergeCell ref="B8:I8"/>
    <mergeCell ref="B9:I9"/>
    <mergeCell ref="A15:B15"/>
    <mergeCell ref="B6:I6"/>
    <mergeCell ref="B7:I7"/>
    <mergeCell ref="C49:D49"/>
    <mergeCell ref="E49:F49"/>
    <mergeCell ref="G49:I49"/>
    <mergeCell ref="A50:B50"/>
    <mergeCell ref="A98:J98"/>
    <mergeCell ref="A99:J99"/>
    <mergeCell ref="A94:J94"/>
    <mergeCell ref="A89:J89"/>
    <mergeCell ref="A95:J95"/>
    <mergeCell ref="A96:J96"/>
    <mergeCell ref="A97:J97"/>
    <mergeCell ref="A54:B54"/>
    <mergeCell ref="A56:B56"/>
    <mergeCell ref="A57:B57"/>
    <mergeCell ref="A77:B77"/>
    <mergeCell ref="A78:B78"/>
    <mergeCell ref="A71:B71"/>
    <mergeCell ref="A72:B72"/>
    <mergeCell ref="A74:B74"/>
    <mergeCell ref="A75:B75"/>
    <mergeCell ref="A76:B76"/>
    <mergeCell ref="A55:B55"/>
    <mergeCell ref="A60:B60"/>
    <mergeCell ref="A59:B59"/>
    <mergeCell ref="A62:B62"/>
    <mergeCell ref="A66:B66"/>
    <mergeCell ref="A61:B61"/>
    <mergeCell ref="A58:B58"/>
    <mergeCell ref="A100:J100"/>
    <mergeCell ref="A101:J101"/>
    <mergeCell ref="A102:J102"/>
    <mergeCell ref="A104:J104"/>
    <mergeCell ref="A105:J105"/>
    <mergeCell ref="A103:J103"/>
    <mergeCell ref="A106:J106"/>
    <mergeCell ref="A107:J107"/>
    <mergeCell ref="A116:J116"/>
    <mergeCell ref="A119:J119"/>
    <mergeCell ref="A120:J120"/>
    <mergeCell ref="A108:J108"/>
    <mergeCell ref="A109:J109"/>
    <mergeCell ref="A110:J110"/>
    <mergeCell ref="A112:J112"/>
    <mergeCell ref="A113:J113"/>
    <mergeCell ref="A114:J114"/>
    <mergeCell ref="A115:J115"/>
    <mergeCell ref="A111:J111"/>
    <mergeCell ref="A117:J117"/>
    <mergeCell ref="A118:J118"/>
    <mergeCell ref="K6:M6"/>
    <mergeCell ref="K7:L7"/>
    <mergeCell ref="A29:B29"/>
    <mergeCell ref="A30:B30"/>
    <mergeCell ref="A39:B39"/>
    <mergeCell ref="A38:B38"/>
    <mergeCell ref="A35:B35"/>
    <mergeCell ref="A36:B36"/>
    <mergeCell ref="A37:B37"/>
    <mergeCell ref="A31:B31"/>
    <mergeCell ref="K11:M11"/>
    <mergeCell ref="A14:B14"/>
    <mergeCell ref="A21:B21"/>
    <mergeCell ref="A22:B22"/>
    <mergeCell ref="A23:B23"/>
    <mergeCell ref="A26:B26"/>
    <mergeCell ref="A27:B27"/>
    <mergeCell ref="A28:B28"/>
    <mergeCell ref="B10:I10"/>
    <mergeCell ref="B11:I11"/>
    <mergeCell ref="A20:B20"/>
    <mergeCell ref="A25:B25"/>
    <mergeCell ref="A17:B17"/>
    <mergeCell ref="A18:B18"/>
    <mergeCell ref="A51:B51"/>
    <mergeCell ref="A49:B49"/>
    <mergeCell ref="A52:B52"/>
    <mergeCell ref="A53:B53"/>
    <mergeCell ref="K8:L8"/>
    <mergeCell ref="K9:L9"/>
    <mergeCell ref="K10:L10"/>
    <mergeCell ref="A19:B19"/>
    <mergeCell ref="A24:B24"/>
    <mergeCell ref="A32:B32"/>
    <mergeCell ref="A33:B33"/>
    <mergeCell ref="A34:B34"/>
    <mergeCell ref="A47:B47"/>
    <mergeCell ref="A48:B48"/>
    <mergeCell ref="A45:B45"/>
    <mergeCell ref="A46:B46"/>
    <mergeCell ref="A40:B40"/>
    <mergeCell ref="A41:B41"/>
    <mergeCell ref="A42:B42"/>
    <mergeCell ref="A43:B43"/>
  </mergeCells>
  <hyperlinks>
    <hyperlink ref="A5" r:id="rId1" display="Tel:  +91-22-67111555 Fax: +91-22-67111666  " xr:uid="{00000000-0004-0000-0000-000000000000}"/>
  </hyperlinks>
  <pageMargins left="0.23622047244094491" right="0.23622047244094491" top="0.44" bottom="0.74803149606299213" header="0.31496062992125984" footer="0.31496062992125984"/>
  <pageSetup paperSize="9" scale="54" fitToHeight="0" orientation="landscape" r:id="rId2"/>
  <colBreaks count="1" manualBreakCount="1">
    <brk id="13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B482-E329-41D0-879E-37A794E9EB51}">
  <dimension ref="A3:H28"/>
  <sheetViews>
    <sheetView topLeftCell="A11" workbookViewId="0">
      <selection activeCell="E26" sqref="E26"/>
    </sheetView>
  </sheetViews>
  <sheetFormatPr defaultRowHeight="14.45"/>
  <cols>
    <col min="2" max="2" width="15.140625" customWidth="1"/>
    <col min="3" max="3" width="14" customWidth="1"/>
    <col min="4" max="4" width="15.42578125" customWidth="1"/>
    <col min="5" max="5" width="15.140625" customWidth="1"/>
    <col min="6" max="6" width="17.42578125" customWidth="1"/>
  </cols>
  <sheetData>
    <row r="3" spans="2:8" ht="15" thickBot="1"/>
    <row r="4" spans="2:8" ht="15" thickBot="1">
      <c r="B4" s="22" t="s">
        <v>131</v>
      </c>
      <c r="C4" s="23" t="s">
        <v>132</v>
      </c>
      <c r="D4" s="24" t="s">
        <v>133</v>
      </c>
      <c r="E4" s="24" t="s">
        <v>134</v>
      </c>
      <c r="F4" s="25" t="s">
        <v>135</v>
      </c>
    </row>
    <row r="5" spans="2:8">
      <c r="B5">
        <v>1505</v>
      </c>
      <c r="C5" s="26" t="s">
        <v>136</v>
      </c>
      <c r="D5" s="27">
        <v>2150</v>
      </c>
      <c r="E5" s="27">
        <f>D5*3</f>
        <v>6450</v>
      </c>
      <c r="F5" s="28">
        <f>(D5-100) *10</f>
        <v>20500</v>
      </c>
      <c r="H5">
        <f>D5-100</f>
        <v>2050</v>
      </c>
    </row>
    <row r="6" spans="2:8">
      <c r="B6">
        <v>1505</v>
      </c>
      <c r="C6" s="29" t="s">
        <v>137</v>
      </c>
      <c r="D6" s="27">
        <v>2150</v>
      </c>
      <c r="E6" s="27">
        <f t="shared" ref="E6:E24" si="0">D6*3</f>
        <v>6450</v>
      </c>
      <c r="F6" s="28">
        <f t="shared" ref="F6:F25" si="1">(D6-100) *10</f>
        <v>20500</v>
      </c>
      <c r="H6">
        <f>H5*10</f>
        <v>20500</v>
      </c>
    </row>
    <row r="7" spans="2:8">
      <c r="B7">
        <v>595</v>
      </c>
      <c r="C7" s="26" t="s">
        <v>138</v>
      </c>
      <c r="D7" s="27">
        <v>999</v>
      </c>
      <c r="E7" s="27">
        <f t="shared" si="0"/>
        <v>2997</v>
      </c>
      <c r="F7" s="28">
        <f t="shared" si="1"/>
        <v>8990</v>
      </c>
    </row>
    <row r="8" spans="2:8">
      <c r="B8">
        <v>484</v>
      </c>
      <c r="C8" s="29" t="s">
        <v>139</v>
      </c>
      <c r="D8" s="27">
        <v>850</v>
      </c>
      <c r="E8" s="27">
        <f t="shared" si="0"/>
        <v>2550</v>
      </c>
      <c r="F8" s="28">
        <f t="shared" si="1"/>
        <v>7500</v>
      </c>
    </row>
    <row r="9" spans="2:8">
      <c r="B9">
        <v>484</v>
      </c>
      <c r="C9" s="29" t="s">
        <v>140</v>
      </c>
      <c r="D9" s="27">
        <v>850</v>
      </c>
      <c r="E9" s="27">
        <f t="shared" si="0"/>
        <v>2550</v>
      </c>
      <c r="F9" s="28">
        <f t="shared" si="1"/>
        <v>7500</v>
      </c>
    </row>
    <row r="10" spans="2:8">
      <c r="B10">
        <v>1195</v>
      </c>
      <c r="C10" s="29" t="s">
        <v>141</v>
      </c>
      <c r="D10" s="27">
        <v>1499</v>
      </c>
      <c r="E10" s="27">
        <f t="shared" si="0"/>
        <v>4497</v>
      </c>
      <c r="F10" s="28">
        <f t="shared" si="1"/>
        <v>13990</v>
      </c>
    </row>
    <row r="11" spans="2:8">
      <c r="B11">
        <v>484</v>
      </c>
      <c r="C11" s="26" t="s">
        <v>142</v>
      </c>
      <c r="D11" s="27">
        <v>850</v>
      </c>
      <c r="E11" s="27">
        <f t="shared" si="0"/>
        <v>2550</v>
      </c>
      <c r="F11" s="28">
        <f t="shared" si="1"/>
        <v>7500</v>
      </c>
    </row>
    <row r="12" spans="2:8">
      <c r="B12">
        <v>1940</v>
      </c>
      <c r="C12" s="26" t="s">
        <v>143</v>
      </c>
      <c r="D12" s="27">
        <v>2490</v>
      </c>
      <c r="E12" s="27">
        <f t="shared" si="0"/>
        <v>7470</v>
      </c>
      <c r="F12" s="28">
        <f t="shared" si="1"/>
        <v>23900</v>
      </c>
    </row>
    <row r="13" spans="2:8">
      <c r="B13">
        <v>484</v>
      </c>
      <c r="C13" s="26" t="s">
        <v>144</v>
      </c>
      <c r="D13" s="27">
        <v>850</v>
      </c>
      <c r="E13" s="27">
        <f t="shared" si="0"/>
        <v>2550</v>
      </c>
      <c r="F13" s="28">
        <f t="shared" si="1"/>
        <v>7500</v>
      </c>
    </row>
    <row r="14" spans="2:8">
      <c r="B14">
        <v>1195</v>
      </c>
      <c r="C14" s="30" t="s">
        <v>145</v>
      </c>
      <c r="D14" s="27">
        <v>1599</v>
      </c>
      <c r="E14" s="27">
        <f t="shared" si="0"/>
        <v>4797</v>
      </c>
      <c r="F14" s="28">
        <f t="shared" si="1"/>
        <v>14990</v>
      </c>
    </row>
    <row r="15" spans="2:8">
      <c r="B15">
        <v>1195</v>
      </c>
      <c r="C15" s="29" t="s">
        <v>146</v>
      </c>
      <c r="D15" s="27">
        <v>1599</v>
      </c>
      <c r="E15" s="27">
        <f t="shared" si="0"/>
        <v>4797</v>
      </c>
      <c r="F15" s="28">
        <f t="shared" si="1"/>
        <v>14990</v>
      </c>
    </row>
    <row r="16" spans="2:8">
      <c r="B16">
        <v>1195</v>
      </c>
      <c r="C16" s="30" t="s">
        <v>147</v>
      </c>
      <c r="D16" s="27">
        <v>1599</v>
      </c>
      <c r="E16" s="27">
        <f t="shared" si="0"/>
        <v>4797</v>
      </c>
      <c r="F16" s="28">
        <f t="shared" si="1"/>
        <v>14990</v>
      </c>
    </row>
    <row r="17" spans="1:6">
      <c r="B17">
        <v>484</v>
      </c>
      <c r="C17" s="26" t="s">
        <v>148</v>
      </c>
      <c r="D17" s="27">
        <v>850</v>
      </c>
      <c r="E17" s="27">
        <f t="shared" si="0"/>
        <v>2550</v>
      </c>
      <c r="F17" s="28">
        <f t="shared" si="1"/>
        <v>7500</v>
      </c>
    </row>
    <row r="18" spans="1:6">
      <c r="B18">
        <v>1940</v>
      </c>
      <c r="C18" s="26" t="s">
        <v>149</v>
      </c>
      <c r="D18" s="27">
        <v>2490</v>
      </c>
      <c r="E18" s="27">
        <f t="shared" si="0"/>
        <v>7470</v>
      </c>
      <c r="F18" s="28">
        <f t="shared" si="1"/>
        <v>23900</v>
      </c>
    </row>
    <row r="19" spans="1:6">
      <c r="B19">
        <v>484</v>
      </c>
      <c r="C19" s="26" t="s">
        <v>150</v>
      </c>
      <c r="D19" s="27">
        <v>850</v>
      </c>
      <c r="E19" s="27">
        <f t="shared" si="0"/>
        <v>2550</v>
      </c>
      <c r="F19" s="28">
        <f t="shared" si="1"/>
        <v>7500</v>
      </c>
    </row>
    <row r="20" spans="1:6">
      <c r="B20">
        <v>484</v>
      </c>
      <c r="C20" s="29" t="s">
        <v>151</v>
      </c>
      <c r="D20" s="27">
        <v>850</v>
      </c>
      <c r="E20" s="27">
        <f t="shared" si="0"/>
        <v>2550</v>
      </c>
      <c r="F20" s="28">
        <f t="shared" si="1"/>
        <v>7500</v>
      </c>
    </row>
    <row r="21" spans="1:6">
      <c r="B21">
        <v>484</v>
      </c>
      <c r="C21" s="26" t="s">
        <v>152</v>
      </c>
      <c r="D21" s="27">
        <v>850</v>
      </c>
      <c r="E21" s="27">
        <f t="shared" si="0"/>
        <v>2550</v>
      </c>
      <c r="F21" s="28">
        <f t="shared" si="1"/>
        <v>7500</v>
      </c>
    </row>
    <row r="22" spans="1:6">
      <c r="B22">
        <v>595</v>
      </c>
      <c r="C22" s="30" t="s">
        <v>153</v>
      </c>
      <c r="D22" s="27">
        <v>999</v>
      </c>
      <c r="E22" s="27">
        <f t="shared" si="0"/>
        <v>2997</v>
      </c>
      <c r="F22" s="28">
        <f t="shared" si="1"/>
        <v>8990</v>
      </c>
    </row>
    <row r="23" spans="1:6">
      <c r="B23">
        <v>855</v>
      </c>
      <c r="C23" s="30" t="s">
        <v>154</v>
      </c>
      <c r="D23" s="27">
        <v>1349</v>
      </c>
      <c r="E23" s="27">
        <f>D23*3</f>
        <v>4047</v>
      </c>
      <c r="F23" s="28">
        <f t="shared" si="1"/>
        <v>12490</v>
      </c>
    </row>
    <row r="24" spans="1:6" ht="15" thickBot="1">
      <c r="B24">
        <v>855</v>
      </c>
      <c r="C24" s="31" t="s">
        <v>155</v>
      </c>
      <c r="D24" s="32">
        <v>1349</v>
      </c>
      <c r="E24" s="32">
        <f t="shared" si="0"/>
        <v>4047</v>
      </c>
      <c r="F24" s="33">
        <f t="shared" si="1"/>
        <v>12490</v>
      </c>
    </row>
    <row r="25" spans="1:6" ht="15" thickBot="1">
      <c r="A25" t="s">
        <v>156</v>
      </c>
      <c r="B25">
        <f>SUM(B5:B24)</f>
        <v>18442</v>
      </c>
      <c r="C25" s="34" t="s">
        <v>156</v>
      </c>
      <c r="D25" s="35">
        <f>SUM(D5:D24)</f>
        <v>27072</v>
      </c>
      <c r="E25" s="35">
        <f>SUM(E5:E24)</f>
        <v>81216</v>
      </c>
      <c r="F25" s="36">
        <f t="shared" si="1"/>
        <v>269720</v>
      </c>
    </row>
    <row r="26" spans="1:6">
      <c r="E26" s="37">
        <f>E25-6999</f>
        <v>74217</v>
      </c>
    </row>
    <row r="27" spans="1:6">
      <c r="A27" t="s">
        <v>134</v>
      </c>
      <c r="B27">
        <f>B25*3</f>
        <v>55326</v>
      </c>
    </row>
    <row r="28" spans="1:6">
      <c r="A28" t="s">
        <v>135</v>
      </c>
      <c r="B28">
        <f>B25*10</f>
        <v>184420</v>
      </c>
    </row>
  </sheetData>
  <hyperlinks>
    <hyperlink ref="C6" r:id="rId1" tooltip="sbicaps.biz" display="https://manage.india.resellerclub.com/servlet/ViewOrderServlet?orderid=27137594" xr:uid="{74D32ABE-2D61-46A9-95C8-FF065AF67834}"/>
    <hyperlink ref="C8" r:id="rId2" tooltip="sbicaps.co.in" display="https://manage.india.resellerclub.com/servlet/ViewOrderServlet?orderid=20057599" xr:uid="{B174D484-D80B-49E0-8708-EF871E8D9058}"/>
    <hyperlink ref="C9" r:id="rId3" tooltip="sbicaps.ind.in" display="https://manage.india.resellerclub.com/servlet/ViewOrderServlet?orderid=20057601" xr:uid="{8886E4F2-4F27-4574-8901-85A72929F6B1}"/>
    <hyperlink ref="C10" r:id="rId4" tooltip="sbicaps.net" display="https://manage.india.resellerclub.com/servlet/ViewOrderServlet?orderid=20057597" xr:uid="{B213CDE7-7FB5-4D2E-A355-6DE2571D13E4}"/>
    <hyperlink ref="C14" r:id="rId5" tooltip="sbicap.net" display="https://manage.india.resellerclub.com/servlet/ViewOrderServlet?orderid=27137595" xr:uid="{2A03B41F-1314-466F-8EFE-C70FBD079A9F}"/>
    <hyperlink ref="C15" r:id="rId6" tooltip="sbicaps.org" display="https://manage.india.resellerclub.com/servlet/ViewOrderServlet?orderid=27137592" xr:uid="{1BD96E54-A2F6-4624-8932-7C66AA12D2DC}"/>
    <hyperlink ref="C16" r:id="rId7" tooltip="sbicap.org" display="https://manage.india.resellerclub.com/servlet/ViewOrderServlet?orderid=27137590" xr:uid="{B2B55B51-8F05-4094-8708-93622621A4A7}"/>
    <hyperlink ref="C20" r:id="rId8" tooltip="sbicap.co.in" display="https://manage.india.resellerclub.com/servlet/ViewOrderServlet?orderid=20059196" xr:uid="{03A499EC-2C74-43A3-9556-BB2279E00A9F}"/>
    <hyperlink ref="C22" r:id="rId9" tooltip="sbicap.in" display="https://manage.india.resellerclub.com/servlet/ViewOrderServlet?orderid=20059191" xr:uid="{64F02D4E-378F-4649-8112-61CEB59DADCA}"/>
    <hyperlink ref="C23" r:id="rId10" tooltip="sbicap.us" display="https://manage.india.resellerclub.com/servlet/ViewOrderServlet?orderid=20164008" xr:uid="{FB1AE579-F5F1-448D-99B9-209DFC8CFA9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662D44A6443C419D40112B2555FBAB" ma:contentTypeVersion="11" ma:contentTypeDescription="Create a new document." ma:contentTypeScope="" ma:versionID="4022272bc32b456973d52b3b08ac0033">
  <xsd:schema xmlns:xsd="http://www.w3.org/2001/XMLSchema" xmlns:xs="http://www.w3.org/2001/XMLSchema" xmlns:p="http://schemas.microsoft.com/office/2006/metadata/properties" xmlns:ns2="270a52b9-840b-4408-9342-83d2fcbe797e" xmlns:ns3="3997ccbc-289b-4270-ae04-5292931ac304" targetNamespace="http://schemas.microsoft.com/office/2006/metadata/properties" ma:root="true" ma:fieldsID="831db70445a48b7b974bb8794dd45ae8" ns2:_="" ns3:_="">
    <xsd:import namespace="270a52b9-840b-4408-9342-83d2fcbe797e"/>
    <xsd:import namespace="3997ccbc-289b-4270-ae04-5292931ac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a52b9-840b-4408-9342-83d2fcbe79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8a51d3a-a750-4965-a966-12d54834a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7ccbc-289b-4270-ae04-5292931ac3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0890fff-0920-4fe3-af70-c15e49fb5475}" ma:internalName="TaxCatchAll" ma:showField="CatchAllData" ma:web="3997ccbc-289b-4270-ae04-5292931ac3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97ccbc-289b-4270-ae04-5292931ac304" xsi:nil="true"/>
    <lcf76f155ced4ddcb4097134ff3c332f xmlns="270a52b9-840b-4408-9342-83d2fcbe79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5E1884-91ED-4366-B950-9BE3F46F8B0F}"/>
</file>

<file path=customXml/itemProps2.xml><?xml version="1.0" encoding="utf-8"?>
<ds:datastoreItem xmlns:ds="http://schemas.openxmlformats.org/officeDocument/2006/customXml" ds:itemID="{1A59DFCF-4C6B-47C9-961B-649F26B93A42}"/>
</file>

<file path=customXml/itemProps3.xml><?xml version="1.0" encoding="utf-8"?>
<ds:datastoreItem xmlns:ds="http://schemas.openxmlformats.org/officeDocument/2006/customXml" ds:itemID="{918AA55D-F555-40B7-A841-A6A6D1E1E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Samir Jhaveri</dc:creator>
  <cp:keywords/>
  <dc:description/>
  <cp:lastModifiedBy/>
  <cp:revision/>
  <dcterms:created xsi:type="dcterms:W3CDTF">2016-10-16T17:31:24Z</dcterms:created>
  <dcterms:modified xsi:type="dcterms:W3CDTF">2026-04-11T10:58:44Z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0x0101009D662D44A6443C419D40112B2555FBAB</vt:lpwstr>
  </property>
  <property fmtid="{D5CDD505-2E9C-101B-9397-08002B2CF9AE}" pid="3" name="MediaServiceImageTags">
    <vt:lpwstr/>
  </property>
</Properties>
</file>