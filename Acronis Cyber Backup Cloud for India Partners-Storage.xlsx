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arushi Chaudhary\Downloads\"/>
    </mc:Choice>
  </mc:AlternateContent>
  <xr:revisionPtr revIDLastSave="0" documentId="8_{245A3A4A-4330-4B59-859A-3BC7D9484D0C}" xr6:coauthVersionLast="47" xr6:coauthVersionMax="47" xr10:uidLastSave="{00000000-0000-0000-0000-000000000000}"/>
  <bookViews>
    <workbookView xWindow="-98" yWindow="-98" windowWidth="21795" windowHeight="12975" tabRatio="253" xr2:uid="{00000000-000D-0000-FFFF-FFFF00000000}"/>
  </bookViews>
  <sheets>
    <sheet name="Cyber Protect Backup Cloud 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4" l="1"/>
  <c r="F23" i="4"/>
  <c r="F22" i="4"/>
  <c r="F21" i="4"/>
  <c r="D20" i="4"/>
  <c r="F19" i="4"/>
  <c r="F18" i="4"/>
  <c r="F24" i="4"/>
  <c r="H27" i="4" l="1"/>
  <c r="G27" i="4"/>
  <c r="I24" i="4"/>
  <c r="G24" i="4"/>
  <c r="J24" i="4" s="1"/>
  <c r="C16" i="4"/>
  <c r="H24" i="4" l="1"/>
  <c r="K24" i="4" s="1"/>
  <c r="G23" i="4"/>
  <c r="I18" i="4" l="1"/>
  <c r="G18" i="4" l="1"/>
  <c r="J18" i="4" s="1"/>
  <c r="I23" i="4"/>
  <c r="H18" i="4" l="1"/>
  <c r="K18" i="4" s="1"/>
  <c r="H23" i="4" l="1"/>
  <c r="K23" i="4" s="1"/>
  <c r="J23" i="4"/>
  <c r="K30" i="4"/>
  <c r="I27" i="4" l="1"/>
  <c r="I22" i="4" l="1"/>
  <c r="I21" i="4"/>
  <c r="G20" i="4"/>
  <c r="I19" i="4"/>
  <c r="J27" i="4" l="1"/>
  <c r="K27" i="4" l="1"/>
  <c r="G22" i="4" l="1"/>
  <c r="J22" i="4" s="1"/>
  <c r="G21" i="4"/>
  <c r="J21" i="4" s="1"/>
  <c r="E20" i="4"/>
  <c r="H20" i="4" s="1"/>
  <c r="G19" i="4"/>
  <c r="J19" i="4" l="1"/>
  <c r="H22" i="4"/>
  <c r="H21" i="4"/>
  <c r="K21" i="4" s="1"/>
  <c r="F20" i="4"/>
  <c r="I20" i="4" s="1"/>
  <c r="H19" i="4"/>
  <c r="K19" i="4" s="1"/>
  <c r="G29" i="4"/>
  <c r="J29" i="4" l="1"/>
  <c r="K22" i="4"/>
  <c r="H29" i="4" l="1"/>
  <c r="K29" i="4"/>
</calcChain>
</file>

<file path=xl/sharedStrings.xml><?xml version="1.0" encoding="utf-8"?>
<sst xmlns="http://schemas.openxmlformats.org/spreadsheetml/2006/main" count="97" uniqueCount="86">
  <si>
    <t xml:space="preserve">XcellHost Cloud Services Pvt. Ltd. </t>
  </si>
  <si>
    <t>Partner Logo</t>
  </si>
  <si>
    <t>End Customer Details</t>
  </si>
  <si>
    <t>Channel Partner Details</t>
  </si>
  <si>
    <t>XcellHost Sales Team</t>
  </si>
  <si>
    <t>Currency Calculator</t>
  </si>
  <si>
    <t xml:space="preserve">Company Name : </t>
  </si>
  <si>
    <t xml:space="preserve">Partner Company Name :  </t>
  </si>
  <si>
    <t xml:space="preserve">Sales Rep :  Mr. </t>
  </si>
  <si>
    <t>Base Currency Unit</t>
  </si>
  <si>
    <t>USD</t>
  </si>
  <si>
    <t>Contact Person : Mr</t>
  </si>
  <si>
    <t xml:space="preserve">Partner Contact Person  : </t>
  </si>
  <si>
    <t xml:space="preserve">Pre-Sales :   </t>
  </si>
  <si>
    <t>Quote Currency  Unit</t>
  </si>
  <si>
    <t>INR</t>
  </si>
  <si>
    <t>Phone No :  +91</t>
  </si>
  <si>
    <t>Partner Phone No : +91</t>
  </si>
  <si>
    <t xml:space="preserve">Quote Date :  </t>
  </si>
  <si>
    <t>Currency Exchange Rate</t>
  </si>
  <si>
    <t xml:space="preserve">Email : </t>
  </si>
  <si>
    <t>Quotation No : XLIN/CP/ABC/2023</t>
  </si>
  <si>
    <t>Partner Margin %</t>
  </si>
  <si>
    <t xml:space="preserve">Website :  </t>
  </si>
  <si>
    <t xml:space="preserve">Website : </t>
  </si>
  <si>
    <t>XcellBackup | Secure Cloud Backup Services - Powered by Acronis Cyber Protect Cloud</t>
  </si>
  <si>
    <t>Protect your data against system hardware, viruses &amp; trojans,  ransomware, data thefts, accidental deletion, natural disasters, human errors etc…</t>
  </si>
  <si>
    <t>Item Descripition</t>
  </si>
  <si>
    <t>Unit</t>
  </si>
  <si>
    <t>Qty</t>
  </si>
  <si>
    <t>$</t>
  </si>
  <si>
    <t xml:space="preserve"> Rate 
</t>
  </si>
  <si>
    <t>Customer Amount
(Monthly)</t>
  </si>
  <si>
    <t>Customer Amount (Yearly)</t>
  </si>
  <si>
    <t xml:space="preserve"> Partner Transfer Rate</t>
  </si>
  <si>
    <t>Partner Amount (Monthly)</t>
  </si>
  <si>
    <t>Partner Amount
(Yearly)</t>
  </si>
  <si>
    <t>Comments</t>
  </si>
  <si>
    <t>Quote Currency</t>
  </si>
  <si>
    <t>Cloud Storage</t>
  </si>
  <si>
    <t>Acronis Cyber Backup Cloud Standard Storage Subscription - 50 GB</t>
  </si>
  <si>
    <t xml:space="preserve">per GB </t>
  </si>
  <si>
    <t>with unlimited Backup Agents</t>
  </si>
  <si>
    <t>Acronis Cyber Backup Cloud Standard Storage Subscription - 100 GB</t>
  </si>
  <si>
    <t>Acronis Cyber Backup Cloud Standard Storage Subscription - 500 GB</t>
  </si>
  <si>
    <t>Acronis Cyber Backup Cloud Standard Storage Subscription - 2 TB</t>
  </si>
  <si>
    <t>Acronis Cyber Protect Cloud -  Standard Storage Subscription - per TB (Cloud Storage)</t>
  </si>
  <si>
    <t xml:space="preserve">per TB </t>
  </si>
  <si>
    <t>Acronis Cyber Protect Cloud  - Standard Storage Subscription - per TB (Local Storage)</t>
  </si>
  <si>
    <t>per TB</t>
  </si>
  <si>
    <t>Managed Services</t>
  </si>
  <si>
    <t>Managed Backup Services</t>
  </si>
  <si>
    <t>1 yr Subscription Charges</t>
  </si>
  <si>
    <t xml:space="preserve">One Time Setup Charges </t>
  </si>
  <si>
    <t>plus applicable taxes</t>
  </si>
  <si>
    <t>Included Components</t>
  </si>
  <si>
    <t>Infrastructure-As-A-Service  (Cloud Gateway + Cloud Repository + WAN Acceleration) Hosted in Acronis Cyber Backup Cloud</t>
  </si>
  <si>
    <t>Include Acronis Software Agent Licenses</t>
  </si>
  <si>
    <t>Includes Incoming + Outgoing Bandwidth</t>
  </si>
  <si>
    <t xml:space="preserve">Includes Acronis Cloud Storage </t>
  </si>
  <si>
    <t>100%  Infrastructure Uptime SLA</t>
  </si>
  <si>
    <t>Contract Terms &amp; Conditions</t>
  </si>
  <si>
    <t>a. Annual Advance Payment with One Time Setup Charges.</t>
  </si>
  <si>
    <t>b. Annual Contract (Auto Renewable).  30 days Termination Notice required.</t>
  </si>
  <si>
    <t>c. Setup Charges does not include any Intial Backup Seeding Charges</t>
  </si>
  <si>
    <t>d. Delivery :  Within 2 working days from PO + Advance Payment Receipt</t>
  </si>
  <si>
    <t>e. Billing Details : Order to be Favour of  XcellHost Cloud Services Pvt Ltd</t>
  </si>
  <si>
    <t>f.  Quote Validity : 1 week</t>
  </si>
  <si>
    <t>g.  Overage Billing will be billed as actuals</t>
  </si>
  <si>
    <t>Managed Backup Service Deliverables</t>
  </si>
  <si>
    <t>Creating Backup Plan [Frequency of Backup, What to Backup, Restoration Plan]</t>
  </si>
  <si>
    <t>Backup Plan Review [Speed of Backup &amp; Restoration, Mock Restore, Backup Integrity Checks]</t>
  </si>
  <si>
    <t>Assess &amp; Define Comprehensive Backup &amp; Recovery Plan</t>
  </si>
  <si>
    <t>Integrate Backup Plan into Overall Managed Hosting Plan</t>
  </si>
  <si>
    <t>Minimize impact of backup activities</t>
  </si>
  <si>
    <t>Segregate Backup Activity on a Separate Backup Network</t>
  </si>
  <si>
    <t>Define Backup Retention Periods &amp; Encryption Standards</t>
  </si>
  <si>
    <t>Design Optional Application Specific Backup Strategies</t>
  </si>
  <si>
    <t>Complete Backup System Verification</t>
  </si>
  <si>
    <t>Verify completion of each backup session</t>
  </si>
  <si>
    <t>Provide Optional Test Recovery Strategies</t>
  </si>
  <si>
    <t>Schedule Regular Backup during off peak hours</t>
  </si>
  <si>
    <t>Aggregate Backup Usage</t>
  </si>
  <si>
    <t>Determine Impending Backup Limit Alerts</t>
  </si>
  <si>
    <t>Evaluate Backup Usage Trends</t>
  </si>
  <si>
    <t>Apply Scalability foresight to anticipate backup capacity needs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</si>
</sst>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 [$₹-4009]\ * #,##0.00_ ;_ [$₹-4009]\ * \-#,##0.00_ ;_ [$₹-4009]\ * &quot;-&quot;??_ ;_ @_ 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 tint="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22"/>
      <color rgb="FF0070C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u/>
      <sz val="11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9" fillId="2" borderId="1" xfId="1" applyFont="1" applyFill="1" applyBorder="1" applyAlignment="1">
      <alignment horizontal="center" vertical="center" wrapText="1"/>
    </xf>
    <xf numFmtId="165" fontId="5" fillId="3" borderId="1" xfId="1" applyNumberFormat="1" applyFont="1" applyFill="1" applyBorder="1" applyAlignment="1">
      <alignment horizontal="center" wrapText="1"/>
    </xf>
    <xf numFmtId="165" fontId="4" fillId="3" borderId="1" xfId="1" applyNumberFormat="1" applyFont="1" applyFill="1" applyBorder="1" applyAlignment="1">
      <alignment horizontal="left" wrapText="1"/>
    </xf>
    <xf numFmtId="0" fontId="10" fillId="3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8" fillId="5" borderId="0" xfId="0" applyFont="1" applyFill="1" applyAlignment="1">
      <alignment horizontal="left" vertical="center"/>
    </xf>
    <xf numFmtId="0" fontId="8" fillId="5" borderId="0" xfId="2" applyNumberFormat="1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0" xfId="0" applyFill="1"/>
    <xf numFmtId="0" fontId="2" fillId="5" borderId="0" xfId="0" applyFont="1" applyFill="1"/>
    <xf numFmtId="165" fontId="0" fillId="5" borderId="0" xfId="0" applyNumberFormat="1" applyFill="1"/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4" fontId="6" fillId="3" borderId="1" xfId="2" applyFont="1" applyFill="1" applyBorder="1" applyAlignment="1">
      <alignment horizontal="center" vertical="center"/>
    </xf>
    <xf numFmtId="0" fontId="6" fillId="3" borderId="1" xfId="2" applyNumberFormat="1" applyFont="1" applyFill="1" applyBorder="1" applyAlignment="1">
      <alignment horizontal="center" vertical="center"/>
    </xf>
    <xf numFmtId="165" fontId="5" fillId="5" borderId="0" xfId="1" applyNumberFormat="1" applyFont="1" applyFill="1" applyAlignment="1">
      <alignment horizontal="center" wrapText="1"/>
    </xf>
    <xf numFmtId="0" fontId="9" fillId="2" borderId="0" xfId="1" applyFont="1" applyFill="1" applyAlignment="1">
      <alignment horizontal="center" vertical="center" wrapText="1"/>
    </xf>
    <xf numFmtId="165" fontId="5" fillId="3" borderId="6" xfId="1" applyNumberFormat="1" applyFont="1" applyFill="1" applyBorder="1" applyAlignment="1">
      <alignment horizontal="center" wrapText="1"/>
    </xf>
    <xf numFmtId="0" fontId="9" fillId="2" borderId="6" xfId="1" applyFont="1" applyFill="1" applyBorder="1" applyAlignment="1">
      <alignment horizontal="center" vertical="center" wrapText="1"/>
    </xf>
    <xf numFmtId="0" fontId="3" fillId="5" borderId="0" xfId="0" applyFont="1" applyFill="1" applyAlignment="1" applyProtection="1">
      <alignment horizontal="center" vertical="center"/>
      <protection locked="0"/>
    </xf>
    <xf numFmtId="0" fontId="10" fillId="5" borderId="0" xfId="0" applyFont="1" applyFill="1" applyAlignment="1">
      <alignment vertical="center"/>
    </xf>
    <xf numFmtId="0" fontId="12" fillId="5" borderId="0" xfId="1" applyFont="1" applyFill="1" applyAlignment="1">
      <alignment horizontal="left" vertical="center"/>
    </xf>
    <xf numFmtId="0" fontId="13" fillId="5" borderId="0" xfId="1" applyFont="1" applyFill="1" applyAlignment="1">
      <alignment horizontal="left" vertical="center"/>
    </xf>
    <xf numFmtId="0" fontId="9" fillId="5" borderId="0" xfId="1" applyFont="1" applyFill="1" applyAlignment="1">
      <alignment horizontal="center" vertical="center" wrapText="1"/>
    </xf>
    <xf numFmtId="0" fontId="15" fillId="5" borderId="0" xfId="3" applyFont="1" applyFill="1" applyAlignment="1">
      <alignment horizontal="left" vertical="center"/>
    </xf>
    <xf numFmtId="165" fontId="4" fillId="5" borderId="0" xfId="1" applyNumberFormat="1" applyFont="1" applyFill="1" applyAlignment="1">
      <alignment horizontal="left" wrapText="1"/>
    </xf>
    <xf numFmtId="0" fontId="7" fillId="5" borderId="0" xfId="1" applyFont="1" applyFill="1" applyAlignment="1">
      <alignment vertical="center"/>
    </xf>
    <xf numFmtId="0" fontId="6" fillId="5" borderId="0" xfId="1" applyFont="1" applyFill="1" applyAlignment="1">
      <alignment horizontal="center" vertical="center"/>
    </xf>
    <xf numFmtId="0" fontId="15" fillId="5" borderId="0" xfId="0" applyFont="1" applyFill="1" applyAlignment="1" applyProtection="1">
      <alignment horizontal="left" vertical="center"/>
      <protection locked="0"/>
    </xf>
    <xf numFmtId="0" fontId="2" fillId="5" borderId="0" xfId="0" applyFont="1" applyFill="1" applyAlignment="1" applyProtection="1">
      <alignment horizontal="left" vertical="center"/>
      <protection locked="0"/>
    </xf>
    <xf numFmtId="0" fontId="2" fillId="5" borderId="0" xfId="0" applyFont="1" applyFill="1" applyAlignment="1" applyProtection="1">
      <alignment horizontal="left"/>
      <protection locked="0"/>
    </xf>
    <xf numFmtId="0" fontId="12" fillId="5" borderId="0" xfId="0" applyFont="1" applyFill="1" applyAlignment="1">
      <alignment horizontal="center" vertical="center"/>
    </xf>
    <xf numFmtId="0" fontId="14" fillId="3" borderId="0" xfId="0" applyFont="1" applyFill="1" applyAlignment="1">
      <alignment vertical="center"/>
    </xf>
    <xf numFmtId="165" fontId="14" fillId="3" borderId="6" xfId="1" applyNumberFormat="1" applyFont="1" applyFill="1" applyBorder="1" applyAlignment="1">
      <alignment horizontal="center" wrapText="1"/>
    </xf>
    <xf numFmtId="0" fontId="17" fillId="3" borderId="1" xfId="0" applyFont="1" applyFill="1" applyBorder="1" applyAlignment="1">
      <alignment horizontal="left" vertical="center"/>
    </xf>
    <xf numFmtId="0" fontId="17" fillId="3" borderId="1" xfId="2" applyNumberFormat="1" applyFont="1" applyFill="1" applyBorder="1" applyAlignment="1">
      <alignment horizontal="center" vertical="center"/>
    </xf>
    <xf numFmtId="0" fontId="15" fillId="2" borderId="6" xfId="3" applyFont="1" applyFill="1" applyBorder="1" applyAlignment="1">
      <alignment vertical="center"/>
    </xf>
    <xf numFmtId="1" fontId="6" fillId="3" borderId="1" xfId="1" applyNumberFormat="1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19" fillId="2" borderId="0" xfId="1" applyFont="1" applyFill="1" applyAlignment="1">
      <alignment horizontal="center" vertical="center" wrapText="1"/>
    </xf>
    <xf numFmtId="0" fontId="6" fillId="3" borderId="1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 vertical="center"/>
    </xf>
    <xf numFmtId="0" fontId="15" fillId="2" borderId="0" xfId="3" applyFont="1" applyFill="1" applyAlignment="1">
      <alignment vertical="center"/>
    </xf>
    <xf numFmtId="0" fontId="20" fillId="2" borderId="0" xfId="3" applyFont="1" applyFill="1" applyAlignment="1">
      <alignment vertical="center"/>
    </xf>
    <xf numFmtId="0" fontId="16" fillId="3" borderId="0" xfId="1" applyFont="1" applyFill="1" applyAlignment="1">
      <alignment vertical="center"/>
    </xf>
    <xf numFmtId="0" fontId="16" fillId="3" borderId="0" xfId="1" applyFont="1" applyFill="1" applyAlignment="1">
      <alignment horizontal="right" vertical="center"/>
    </xf>
    <xf numFmtId="0" fontId="19" fillId="3" borderId="0" xfId="1" applyFont="1" applyFill="1" applyAlignment="1">
      <alignment horizontal="right" vertical="center"/>
    </xf>
    <xf numFmtId="2" fontId="5" fillId="3" borderId="1" xfId="1" applyNumberFormat="1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5" fillId="2" borderId="0" xfId="3" applyFont="1" applyFill="1" applyAlignment="1">
      <alignment horizontal="center" vertical="center"/>
    </xf>
    <xf numFmtId="2" fontId="6" fillId="3" borderId="1" xfId="1" applyNumberFormat="1" applyFon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/>
    </xf>
    <xf numFmtId="1" fontId="5" fillId="3" borderId="1" xfId="1" applyNumberFormat="1" applyFont="1" applyFill="1" applyBorder="1" applyAlignment="1">
      <alignment horizontal="center" vertical="center" wrapText="1"/>
    </xf>
    <xf numFmtId="1" fontId="5" fillId="3" borderId="1" xfId="1" applyNumberFormat="1" applyFont="1" applyFill="1" applyBorder="1" applyAlignment="1">
      <alignment horizontal="center" wrapText="1"/>
    </xf>
    <xf numFmtId="0" fontId="19" fillId="3" borderId="0" xfId="1" applyFont="1" applyFill="1" applyAlignment="1">
      <alignment horizontal="center" vertical="center"/>
    </xf>
    <xf numFmtId="1" fontId="19" fillId="3" borderId="1" xfId="1" applyNumberFormat="1" applyFont="1" applyFill="1" applyBorder="1" applyAlignment="1">
      <alignment horizontal="center" vertical="center"/>
    </xf>
    <xf numFmtId="1" fontId="19" fillId="3" borderId="1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1" fontId="17" fillId="3" borderId="1" xfId="1" applyNumberFormat="1" applyFont="1" applyFill="1" applyBorder="1" applyAlignment="1">
      <alignment horizontal="center" vertical="center" wrapText="1"/>
    </xf>
    <xf numFmtId="0" fontId="17" fillId="3" borderId="1" xfId="1" applyFont="1" applyFill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16" fillId="3" borderId="0" xfId="1" applyFont="1" applyFill="1" applyAlignment="1">
      <alignment horizontal="center" vertical="center"/>
    </xf>
    <xf numFmtId="0" fontId="16" fillId="3" borderId="2" xfId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vertical="center"/>
    </xf>
    <xf numFmtId="0" fontId="16" fillId="3" borderId="5" xfId="1" applyFont="1" applyFill="1" applyBorder="1" applyAlignment="1">
      <alignment vertical="center"/>
    </xf>
    <xf numFmtId="0" fontId="16" fillId="3" borderId="2" xfId="1" applyFont="1" applyFill="1" applyBorder="1" applyAlignment="1">
      <alignment vertical="center"/>
    </xf>
    <xf numFmtId="0" fontId="16" fillId="3" borderId="4" xfId="1" applyFont="1" applyFill="1" applyBorder="1" applyAlignment="1">
      <alignment vertical="center"/>
    </xf>
    <xf numFmtId="0" fontId="16" fillId="3" borderId="3" xfId="1" applyFont="1" applyFill="1" applyBorder="1" applyAlignment="1">
      <alignment vertical="center"/>
    </xf>
    <xf numFmtId="0" fontId="12" fillId="2" borderId="1" xfId="1" applyFont="1" applyFill="1" applyBorder="1" applyAlignment="1">
      <alignment vertical="center"/>
    </xf>
    <xf numFmtId="0" fontId="9" fillId="2" borderId="5" xfId="1" applyFont="1" applyFill="1" applyBorder="1" applyAlignment="1">
      <alignment vertical="center"/>
    </xf>
    <xf numFmtId="0" fontId="9" fillId="2" borderId="1" xfId="1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4" fillId="3" borderId="5" xfId="1" applyFont="1" applyFill="1" applyBorder="1" applyAlignment="1">
      <alignment vertical="center"/>
    </xf>
    <xf numFmtId="0" fontId="6" fillId="3" borderId="0" xfId="1" applyFont="1" applyFill="1" applyAlignment="1">
      <alignment horizontal="center"/>
    </xf>
    <xf numFmtId="0" fontId="6" fillId="3" borderId="0" xfId="1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1" fontId="6" fillId="3" borderId="0" xfId="1" applyNumberFormat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 wrapText="1"/>
    </xf>
    <xf numFmtId="0" fontId="17" fillId="3" borderId="0" xfId="1" applyFont="1" applyFill="1" applyAlignment="1">
      <alignment horizontal="center" vertical="center" wrapText="1"/>
    </xf>
    <xf numFmtId="1" fontId="5" fillId="3" borderId="0" xfId="1" applyNumberFormat="1" applyFont="1" applyFill="1" applyAlignment="1">
      <alignment horizontal="center" wrapText="1"/>
    </xf>
    <xf numFmtId="1" fontId="5" fillId="3" borderId="0" xfId="1" applyNumberFormat="1" applyFont="1" applyFill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164" fontId="7" fillId="3" borderId="0" xfId="0" applyNumberFormat="1" applyFont="1" applyFill="1" applyAlignment="1">
      <alignment horizontal="center" vertical="center"/>
    </xf>
    <xf numFmtId="1" fontId="17" fillId="3" borderId="1" xfId="1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 applyProtection="1">
      <alignment horizontal="left" vertical="top"/>
      <protection locked="0"/>
    </xf>
    <xf numFmtId="0" fontId="2" fillId="3" borderId="4" xfId="0" applyFont="1" applyFill="1" applyBorder="1" applyAlignment="1" applyProtection="1">
      <alignment horizontal="left" vertical="top"/>
      <protection locked="0"/>
    </xf>
    <xf numFmtId="0" fontId="2" fillId="3" borderId="3" xfId="0" applyFont="1" applyFill="1" applyBorder="1" applyAlignment="1" applyProtection="1">
      <alignment horizontal="left" vertical="top"/>
      <protection locked="0"/>
    </xf>
    <xf numFmtId="0" fontId="2" fillId="3" borderId="2" xfId="0" applyFont="1" applyFill="1" applyBorder="1" applyAlignment="1" applyProtection="1">
      <alignment horizontal="left" vertical="center"/>
      <protection locked="0"/>
    </xf>
    <xf numFmtId="0" fontId="2" fillId="3" borderId="4" xfId="0" applyFont="1" applyFill="1" applyBorder="1" applyAlignment="1" applyProtection="1">
      <alignment horizontal="left" vertical="center"/>
      <protection locked="0"/>
    </xf>
    <xf numFmtId="0" fontId="2" fillId="3" borderId="3" xfId="0" applyFont="1" applyFill="1" applyBorder="1" applyAlignment="1" applyProtection="1">
      <alignment horizontal="left" vertical="center"/>
      <protection locked="0"/>
    </xf>
    <xf numFmtId="0" fontId="0" fillId="3" borderId="2" xfId="0" applyFill="1" applyBorder="1" applyAlignment="1" applyProtection="1">
      <alignment horizontal="left" vertical="center"/>
      <protection locked="0"/>
    </xf>
    <xf numFmtId="0" fontId="0" fillId="3" borderId="4" xfId="0" applyFill="1" applyBorder="1" applyAlignment="1" applyProtection="1">
      <alignment horizontal="left" vertical="center"/>
      <protection locked="0"/>
    </xf>
    <xf numFmtId="0" fontId="0" fillId="3" borderId="3" xfId="0" applyFill="1" applyBorder="1" applyAlignment="1" applyProtection="1">
      <alignment horizontal="left" vertical="center"/>
      <protection locked="0"/>
    </xf>
    <xf numFmtId="0" fontId="16" fillId="3" borderId="2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left" vertical="center"/>
    </xf>
    <xf numFmtId="0" fontId="16" fillId="3" borderId="3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left" vertical="center"/>
    </xf>
    <xf numFmtId="0" fontId="16" fillId="4" borderId="4" xfId="0" applyFont="1" applyFill="1" applyBorder="1" applyAlignment="1">
      <alignment horizontal="left" vertical="center"/>
    </xf>
    <xf numFmtId="0" fontId="16" fillId="4" borderId="3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15" fillId="2" borderId="2" xfId="0" applyFont="1" applyFill="1" applyBorder="1" applyAlignment="1" applyProtection="1">
      <alignment horizontal="left" vertical="center"/>
      <protection locked="0"/>
    </xf>
    <xf numFmtId="0" fontId="15" fillId="2" borderId="4" xfId="0" applyFont="1" applyFill="1" applyBorder="1" applyAlignment="1" applyProtection="1">
      <alignment horizontal="left" vertical="center"/>
      <protection locked="0"/>
    </xf>
    <xf numFmtId="0" fontId="15" fillId="2" borderId="3" xfId="0" applyFont="1" applyFill="1" applyBorder="1" applyAlignment="1" applyProtection="1">
      <alignment horizontal="left" vertical="center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3" fillId="3" borderId="2" xfId="1" applyFont="1" applyFill="1" applyBorder="1" applyAlignment="1">
      <alignment horizontal="left" vertical="center"/>
    </xf>
    <xf numFmtId="0" fontId="13" fillId="3" borderId="4" xfId="1" applyFont="1" applyFill="1" applyBorder="1" applyAlignment="1">
      <alignment horizontal="left" vertical="center"/>
    </xf>
    <xf numFmtId="0" fontId="13" fillId="3" borderId="3" xfId="1" applyFont="1" applyFill="1" applyBorder="1" applyAlignment="1">
      <alignment horizontal="lef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</cellXfs>
  <cellStyles count="5">
    <cellStyle name="Comma" xfId="2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430696</xdr:colOff>
      <xdr:row>1</xdr:row>
      <xdr:rowOff>98454</xdr:rowOff>
    </xdr:from>
    <xdr:to>
      <xdr:col>7</xdr:col>
      <xdr:colOff>841327</xdr:colOff>
      <xdr:row>5</xdr:row>
      <xdr:rowOff>35036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8848" y="280671"/>
          <a:ext cx="1611609" cy="692867"/>
        </a:xfrm>
        <a:prstGeom prst="rect">
          <a:avLst/>
        </a:prstGeom>
      </xdr:spPr>
    </xdr:pic>
    <xdr:clientData/>
  </xdr:twoCellAnchor>
  <xdr:oneCellAnchor>
    <xdr:from>
      <xdr:col>0</xdr:col>
      <xdr:colOff>532990</xdr:colOff>
      <xdr:row>0</xdr:row>
      <xdr:rowOff>161925</xdr:rowOff>
    </xdr:from>
    <xdr:ext cx="1601812" cy="809625"/>
    <xdr:pic>
      <xdr:nvPicPr>
        <xdr:cNvPr id="7" name="Picture 6">
          <a:extLst>
            <a:ext uri="{FF2B5EF4-FFF2-40B4-BE49-F238E27FC236}">
              <a16:creationId xmlns:a16="http://schemas.microsoft.com/office/drawing/2014/main" id="{63980BA6-8D6B-4AB0-AB9B-A79FA6DAF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990" y="161925"/>
          <a:ext cx="1601812" cy="80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2"/>
  <sheetViews>
    <sheetView tabSelected="1" topLeftCell="B10" zoomScale="115" zoomScaleNormal="115" workbookViewId="0">
      <selection activeCell="B20" sqref="B20"/>
    </sheetView>
  </sheetViews>
  <sheetFormatPr defaultRowHeight="14.25" x14ac:dyDescent="0.45"/>
  <cols>
    <col min="1" max="1" width="0" hidden="1" customWidth="1"/>
    <col min="2" max="2" width="90.265625" customWidth="1"/>
    <col min="3" max="3" width="6.73046875" style="1" bestFit="1" customWidth="1"/>
    <col min="4" max="4" width="6.265625" bestFit="1" customWidth="1"/>
    <col min="5" max="5" width="5.73046875" bestFit="1" customWidth="1"/>
    <col min="6" max="6" width="10.265625" customWidth="1"/>
    <col min="7" max="8" width="17.3984375" customWidth="1"/>
    <col min="9" max="9" width="16" customWidth="1"/>
    <col min="10" max="10" width="15.3984375" customWidth="1"/>
    <col min="11" max="11" width="15.265625" customWidth="1"/>
    <col min="12" max="12" width="32" customWidth="1"/>
    <col min="13" max="13" width="2.73046875" style="12" customWidth="1"/>
    <col min="14" max="14" width="23.73046875" customWidth="1"/>
    <col min="15" max="15" width="5.59765625" bestFit="1" customWidth="1"/>
  </cols>
  <sheetData>
    <row r="1" spans="1:22" hidden="1" x14ac:dyDescent="0.45">
      <c r="A1" s="12"/>
      <c r="B1" s="12"/>
      <c r="C1" s="15"/>
      <c r="D1" s="12"/>
      <c r="E1" s="12"/>
      <c r="F1" s="12"/>
      <c r="G1" s="12"/>
      <c r="H1" s="12"/>
      <c r="I1" s="12"/>
      <c r="J1" s="12"/>
      <c r="K1" s="12"/>
      <c r="L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15" customHeight="1" x14ac:dyDescent="0.45">
      <c r="A2" s="12"/>
      <c r="B2" s="125" t="s">
        <v>0</v>
      </c>
      <c r="C2" s="126"/>
      <c r="D2" s="126"/>
      <c r="E2" s="126"/>
      <c r="F2" s="127"/>
      <c r="G2" s="116" t="s">
        <v>1</v>
      </c>
      <c r="H2" s="117"/>
      <c r="I2" s="117"/>
      <c r="J2" s="117"/>
      <c r="K2" s="117"/>
      <c r="L2" s="118"/>
      <c r="M2" s="23"/>
      <c r="N2" s="12"/>
      <c r="O2" s="12"/>
      <c r="P2" s="12"/>
      <c r="Q2" s="12"/>
      <c r="R2" s="12"/>
      <c r="S2" s="12"/>
      <c r="T2" s="12"/>
      <c r="U2" s="12"/>
      <c r="V2" s="12"/>
    </row>
    <row r="3" spans="1:22" ht="15" customHeight="1" x14ac:dyDescent="0.45">
      <c r="A3" s="12"/>
      <c r="B3" s="128"/>
      <c r="C3" s="129"/>
      <c r="D3" s="129"/>
      <c r="E3" s="129"/>
      <c r="F3" s="130"/>
      <c r="G3" s="119"/>
      <c r="H3" s="120"/>
      <c r="I3" s="120"/>
      <c r="J3" s="120"/>
      <c r="K3" s="120"/>
      <c r="L3" s="121"/>
      <c r="M3" s="23"/>
      <c r="N3" s="12"/>
      <c r="O3" s="12"/>
      <c r="P3" s="12"/>
      <c r="Q3" s="12"/>
      <c r="R3" s="12"/>
      <c r="S3" s="12"/>
      <c r="T3" s="12"/>
      <c r="U3" s="12"/>
      <c r="V3" s="12"/>
    </row>
    <row r="4" spans="1:22" ht="15" customHeight="1" x14ac:dyDescent="0.45">
      <c r="A4" s="12"/>
      <c r="B4" s="128"/>
      <c r="C4" s="129"/>
      <c r="D4" s="129"/>
      <c r="E4" s="129"/>
      <c r="F4" s="130"/>
      <c r="G4" s="119"/>
      <c r="H4" s="120"/>
      <c r="I4" s="120"/>
      <c r="J4" s="120"/>
      <c r="K4" s="120"/>
      <c r="L4" s="121"/>
      <c r="M4" s="23"/>
      <c r="N4" s="12"/>
      <c r="O4" s="12"/>
      <c r="P4" s="12"/>
      <c r="Q4" s="12"/>
      <c r="R4" s="12"/>
      <c r="S4" s="12"/>
      <c r="T4" s="12"/>
      <c r="U4" s="12"/>
      <c r="V4" s="12"/>
    </row>
    <row r="5" spans="1:22" ht="15" customHeight="1" x14ac:dyDescent="0.45">
      <c r="A5" s="12"/>
      <c r="B5" s="128"/>
      <c r="C5" s="129"/>
      <c r="D5" s="129"/>
      <c r="E5" s="129"/>
      <c r="F5" s="130"/>
      <c r="G5" s="119"/>
      <c r="H5" s="120"/>
      <c r="I5" s="120"/>
      <c r="J5" s="120"/>
      <c r="K5" s="120"/>
      <c r="L5" s="121"/>
      <c r="M5" s="23"/>
      <c r="N5" s="12"/>
      <c r="O5" s="12"/>
      <c r="P5" s="12"/>
      <c r="Q5" s="12"/>
      <c r="R5" s="12"/>
      <c r="S5" s="12"/>
      <c r="T5" s="12"/>
      <c r="U5" s="12"/>
      <c r="V5" s="12"/>
    </row>
    <row r="6" spans="1:22" ht="15.75" customHeight="1" x14ac:dyDescent="0.45">
      <c r="A6" s="12"/>
      <c r="B6" s="131"/>
      <c r="C6" s="132"/>
      <c r="D6" s="132"/>
      <c r="E6" s="132"/>
      <c r="F6" s="133"/>
      <c r="G6" s="122"/>
      <c r="H6" s="123"/>
      <c r="I6" s="123"/>
      <c r="J6" s="123"/>
      <c r="K6" s="123"/>
      <c r="L6" s="124"/>
      <c r="M6" s="23"/>
      <c r="N6" s="12"/>
      <c r="O6" s="12"/>
      <c r="P6" s="12"/>
      <c r="Q6" s="12"/>
      <c r="R6" s="12"/>
      <c r="S6" s="12"/>
      <c r="T6" s="12"/>
      <c r="U6" s="12"/>
      <c r="V6" s="12"/>
    </row>
    <row r="7" spans="1:22" s="1" customFormat="1" ht="18" customHeight="1" x14ac:dyDescent="0.45">
      <c r="A7" s="15"/>
      <c r="B7" s="143" t="s">
        <v>2</v>
      </c>
      <c r="C7" s="144"/>
      <c r="D7" s="144"/>
      <c r="E7" s="144"/>
      <c r="F7" s="145"/>
      <c r="G7" s="77" t="s">
        <v>3</v>
      </c>
      <c r="H7" s="78"/>
      <c r="I7" s="79"/>
      <c r="J7" s="79"/>
      <c r="K7" s="80"/>
      <c r="L7" s="68" t="s">
        <v>4</v>
      </c>
      <c r="M7" s="35"/>
      <c r="N7" s="93" t="s">
        <v>5</v>
      </c>
      <c r="O7" s="94"/>
      <c r="P7" s="12"/>
      <c r="Q7" s="12"/>
      <c r="R7" s="12"/>
      <c r="S7" s="12"/>
      <c r="T7" s="12"/>
      <c r="U7" s="12"/>
      <c r="V7" s="12"/>
    </row>
    <row r="8" spans="1:22" s="2" customFormat="1" ht="15" customHeight="1" x14ac:dyDescent="0.45">
      <c r="A8" s="11"/>
      <c r="B8" s="104" t="s">
        <v>6</v>
      </c>
      <c r="C8" s="105"/>
      <c r="D8" s="105"/>
      <c r="E8" s="105"/>
      <c r="F8" s="106"/>
      <c r="G8" s="110" t="s">
        <v>7</v>
      </c>
      <c r="H8" s="111"/>
      <c r="I8" s="111"/>
      <c r="J8" s="111"/>
      <c r="K8" s="112"/>
      <c r="L8" s="7" t="s">
        <v>8</v>
      </c>
      <c r="M8" s="24"/>
      <c r="N8" s="16" t="s">
        <v>9</v>
      </c>
      <c r="O8" s="17" t="s">
        <v>10</v>
      </c>
      <c r="P8" s="12"/>
      <c r="Q8" s="12"/>
      <c r="R8" s="12"/>
      <c r="S8" s="12"/>
      <c r="T8" s="12"/>
      <c r="U8" s="12"/>
      <c r="V8" s="12"/>
    </row>
    <row r="9" spans="1:22" s="2" customFormat="1" ht="15" customHeight="1" x14ac:dyDescent="0.45">
      <c r="A9" s="11"/>
      <c r="B9" s="104" t="s">
        <v>11</v>
      </c>
      <c r="C9" s="105"/>
      <c r="D9" s="105"/>
      <c r="E9" s="105"/>
      <c r="F9" s="106"/>
      <c r="G9" s="110" t="s">
        <v>12</v>
      </c>
      <c r="H9" s="111"/>
      <c r="I9" s="111"/>
      <c r="J9" s="111"/>
      <c r="K9" s="112"/>
      <c r="L9" s="7" t="s">
        <v>13</v>
      </c>
      <c r="M9" s="24"/>
      <c r="N9" s="16" t="s">
        <v>14</v>
      </c>
      <c r="O9" s="17" t="s">
        <v>15</v>
      </c>
      <c r="P9" s="12"/>
      <c r="Q9" s="12"/>
      <c r="R9" s="12"/>
      <c r="S9" s="12"/>
      <c r="T9" s="12"/>
      <c r="U9" s="12"/>
      <c r="V9" s="12"/>
    </row>
    <row r="10" spans="1:22" s="2" customFormat="1" ht="16.5" customHeight="1" x14ac:dyDescent="0.45">
      <c r="A10" s="11"/>
      <c r="B10" s="104" t="s">
        <v>16</v>
      </c>
      <c r="C10" s="105"/>
      <c r="D10" s="105"/>
      <c r="E10" s="105"/>
      <c r="F10" s="106"/>
      <c r="G10" s="110" t="s">
        <v>17</v>
      </c>
      <c r="H10" s="111"/>
      <c r="I10" s="111"/>
      <c r="J10" s="111"/>
      <c r="K10" s="112"/>
      <c r="L10" s="7" t="s">
        <v>18</v>
      </c>
      <c r="M10" s="24"/>
      <c r="N10" s="16" t="s">
        <v>19</v>
      </c>
      <c r="O10" s="18">
        <v>92</v>
      </c>
      <c r="P10" s="12"/>
      <c r="Q10" s="12"/>
      <c r="R10" s="12"/>
      <c r="S10" s="12"/>
      <c r="T10" s="12"/>
      <c r="U10" s="12"/>
      <c r="V10" s="12"/>
    </row>
    <row r="11" spans="1:22" s="2" customFormat="1" ht="16.5" customHeight="1" x14ac:dyDescent="0.45">
      <c r="A11" s="11"/>
      <c r="B11" s="104" t="s">
        <v>20</v>
      </c>
      <c r="C11" s="105"/>
      <c r="D11" s="105"/>
      <c r="E11" s="105"/>
      <c r="F11" s="106"/>
      <c r="G11" s="110" t="s">
        <v>20</v>
      </c>
      <c r="H11" s="111"/>
      <c r="I11" s="111"/>
      <c r="J11" s="111"/>
      <c r="K11" s="112"/>
      <c r="L11" s="7" t="s">
        <v>21</v>
      </c>
      <c r="M11" s="24"/>
      <c r="N11" s="38" t="s">
        <v>22</v>
      </c>
      <c r="O11" s="39">
        <v>20</v>
      </c>
      <c r="P11" s="12"/>
      <c r="Q11" s="12"/>
      <c r="R11" s="12"/>
      <c r="S11" s="12"/>
      <c r="T11" s="12"/>
      <c r="U11" s="12"/>
      <c r="V11" s="12"/>
    </row>
    <row r="12" spans="1:22" s="2" customFormat="1" ht="14.85" customHeight="1" x14ac:dyDescent="0.45">
      <c r="A12" s="11"/>
      <c r="B12" s="107" t="s">
        <v>23</v>
      </c>
      <c r="C12" s="108"/>
      <c r="D12" s="108"/>
      <c r="E12" s="108"/>
      <c r="F12" s="109"/>
      <c r="G12" s="110" t="s">
        <v>24</v>
      </c>
      <c r="H12" s="111"/>
      <c r="I12" s="111"/>
      <c r="J12" s="111"/>
      <c r="K12" s="112"/>
      <c r="L12" s="8"/>
      <c r="M12" s="24"/>
      <c r="N12" s="9"/>
      <c r="O12" s="10"/>
      <c r="P12" s="12"/>
      <c r="Q12" s="12"/>
      <c r="R12" s="12"/>
      <c r="S12" s="12"/>
      <c r="T12" s="12"/>
      <c r="U12" s="12"/>
      <c r="V12" s="12"/>
    </row>
    <row r="13" spans="1:22" ht="18" x14ac:dyDescent="0.45">
      <c r="A13" s="12"/>
      <c r="B13" s="74" t="s">
        <v>25</v>
      </c>
      <c r="C13" s="74"/>
      <c r="D13" s="74"/>
      <c r="E13" s="74"/>
      <c r="F13" s="74"/>
      <c r="G13" s="137"/>
      <c r="H13" s="138"/>
      <c r="I13" s="138"/>
      <c r="J13" s="138"/>
      <c r="K13" s="138"/>
      <c r="L13" s="139"/>
      <c r="M13" s="25"/>
      <c r="N13" s="12"/>
      <c r="O13" s="12"/>
      <c r="P13" s="12"/>
      <c r="Q13" s="12"/>
      <c r="R13" s="12"/>
      <c r="S13" s="12"/>
      <c r="T13" s="12"/>
      <c r="U13" s="12"/>
      <c r="V13" s="12"/>
    </row>
    <row r="14" spans="1:22" x14ac:dyDescent="0.45">
      <c r="A14" s="12"/>
      <c r="B14" s="134" t="s">
        <v>26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26"/>
      <c r="N14" s="13"/>
      <c r="O14" s="12"/>
      <c r="P14" s="12"/>
      <c r="Q14" s="12"/>
      <c r="R14" s="12"/>
      <c r="S14" s="12"/>
      <c r="T14" s="12"/>
      <c r="U14" s="12"/>
      <c r="V14" s="12"/>
    </row>
    <row r="15" spans="1:22" s="3" customFormat="1" ht="28.5" x14ac:dyDescent="0.45">
      <c r="A15" s="13"/>
      <c r="B15" s="76" t="s">
        <v>27</v>
      </c>
      <c r="C15" s="4" t="s">
        <v>28</v>
      </c>
      <c r="D15" s="4" t="s">
        <v>29</v>
      </c>
      <c r="E15" s="4" t="s">
        <v>30</v>
      </c>
      <c r="F15" s="4" t="s">
        <v>31</v>
      </c>
      <c r="G15" s="4" t="s">
        <v>32</v>
      </c>
      <c r="H15" s="4" t="s">
        <v>33</v>
      </c>
      <c r="I15" s="42" t="s">
        <v>34</v>
      </c>
      <c r="J15" s="42" t="s">
        <v>35</v>
      </c>
      <c r="K15" s="42" t="s">
        <v>36</v>
      </c>
      <c r="L15" s="4" t="s">
        <v>37</v>
      </c>
      <c r="M15" s="27"/>
      <c r="N15" s="13"/>
      <c r="O15" s="13"/>
      <c r="P15" s="12"/>
      <c r="Q15" s="12"/>
      <c r="R15" s="12"/>
      <c r="S15" s="12"/>
      <c r="T15" s="12"/>
      <c r="U15" s="12"/>
      <c r="V15" s="12"/>
    </row>
    <row r="16" spans="1:22" x14ac:dyDescent="0.45">
      <c r="A16" s="12"/>
      <c r="B16" s="90" t="s">
        <v>38</v>
      </c>
      <c r="C16" s="91" t="str">
        <f>O9</f>
        <v>INR</v>
      </c>
      <c r="D16" s="36"/>
      <c r="E16" s="36"/>
      <c r="F16" s="36"/>
      <c r="G16" s="36"/>
      <c r="H16" s="36"/>
      <c r="I16" s="43"/>
      <c r="J16" s="43"/>
      <c r="K16" s="43"/>
      <c r="L16" s="37"/>
      <c r="M16" s="19"/>
      <c r="N16" s="13"/>
      <c r="O16" s="12"/>
      <c r="P16" s="12"/>
      <c r="Q16" s="12"/>
      <c r="R16" s="12"/>
      <c r="S16" s="12"/>
      <c r="T16" s="12"/>
      <c r="U16" s="12"/>
      <c r="V16" s="12"/>
    </row>
    <row r="17" spans="1:22" x14ac:dyDescent="0.45">
      <c r="A17" s="12"/>
      <c r="B17" s="75" t="s">
        <v>39</v>
      </c>
      <c r="C17" s="20"/>
      <c r="D17" s="20"/>
      <c r="E17" s="20"/>
      <c r="F17" s="20"/>
      <c r="G17" s="20"/>
      <c r="H17" s="20"/>
      <c r="I17" s="44"/>
      <c r="J17" s="44"/>
      <c r="K17" s="44"/>
      <c r="L17" s="22"/>
      <c r="M17" s="27"/>
      <c r="N17" s="13"/>
      <c r="O17" s="12"/>
      <c r="P17" s="12"/>
      <c r="Q17" s="12"/>
      <c r="R17" s="12"/>
      <c r="S17" s="12"/>
      <c r="T17" s="12"/>
      <c r="U17" s="12"/>
      <c r="V17" s="12"/>
    </row>
    <row r="18" spans="1:22" ht="15" customHeight="1" x14ac:dyDescent="0.45">
      <c r="A18" s="12"/>
      <c r="B18" s="69" t="s">
        <v>40</v>
      </c>
      <c r="C18" s="45" t="s">
        <v>41</v>
      </c>
      <c r="D18" s="46">
        <v>0</v>
      </c>
      <c r="E18" s="56">
        <v>7.4999999999999997E-2</v>
      </c>
      <c r="F18" s="55">
        <f>E18*O10</f>
        <v>6.8999999999999995</v>
      </c>
      <c r="G18" s="65">
        <f>D18*F18</f>
        <v>0</v>
      </c>
      <c r="H18" s="64">
        <f t="shared" ref="F18:H24" si="0">G18*12</f>
        <v>0</v>
      </c>
      <c r="I18" s="52">
        <f t="shared" ref="G18:K24" si="1">F18-(F18*$O$11%)</f>
        <v>5.52</v>
      </c>
      <c r="J18" s="57">
        <f t="shared" si="1"/>
        <v>0</v>
      </c>
      <c r="K18" s="57">
        <f t="shared" si="1"/>
        <v>0</v>
      </c>
      <c r="L18" s="5" t="s">
        <v>42</v>
      </c>
      <c r="M18" s="19"/>
      <c r="N18" s="13"/>
      <c r="O18" s="14"/>
      <c r="P18" s="12"/>
      <c r="Q18" s="12"/>
      <c r="R18" s="12"/>
      <c r="S18" s="12"/>
      <c r="T18" s="12"/>
      <c r="U18" s="12"/>
      <c r="V18" s="12"/>
    </row>
    <row r="19" spans="1:22" ht="15" customHeight="1" x14ac:dyDescent="0.45">
      <c r="A19" s="12"/>
      <c r="B19" s="69" t="s">
        <v>43</v>
      </c>
      <c r="C19" s="45" t="s">
        <v>41</v>
      </c>
      <c r="D19" s="46">
        <v>0</v>
      </c>
      <c r="E19" s="56">
        <v>7.4999999999999997E-2</v>
      </c>
      <c r="F19" s="55">
        <f>E19*O10</f>
        <v>6.8999999999999995</v>
      </c>
      <c r="G19" s="65">
        <f t="shared" ref="E19:G24" si="2">D19*F19</f>
        <v>0</v>
      </c>
      <c r="H19" s="64">
        <f t="shared" si="0"/>
        <v>0</v>
      </c>
      <c r="I19" s="52">
        <f t="shared" si="1"/>
        <v>5.52</v>
      </c>
      <c r="J19" s="57">
        <f t="shared" si="1"/>
        <v>0</v>
      </c>
      <c r="K19" s="57">
        <f t="shared" si="1"/>
        <v>0</v>
      </c>
      <c r="L19" s="5" t="s">
        <v>42</v>
      </c>
      <c r="M19" s="19"/>
      <c r="N19" s="13"/>
      <c r="O19" s="14"/>
      <c r="P19" s="12"/>
      <c r="Q19" s="12"/>
      <c r="R19" s="12"/>
      <c r="S19" s="12"/>
      <c r="T19" s="12"/>
      <c r="U19" s="12"/>
      <c r="V19" s="12"/>
    </row>
    <row r="20" spans="1:22" ht="15" customHeight="1" x14ac:dyDescent="0.45">
      <c r="A20" s="12"/>
      <c r="B20" s="46">
        <v>0</v>
      </c>
      <c r="C20" s="56">
        <v>7.4999999999999997E-2</v>
      </c>
      <c r="D20" s="55">
        <f>C20*O10</f>
        <v>6.8999999999999995</v>
      </c>
      <c r="E20" s="65">
        <f t="shared" si="2"/>
        <v>0</v>
      </c>
      <c r="F20" s="64">
        <f t="shared" si="0"/>
        <v>0</v>
      </c>
      <c r="G20" s="52">
        <f t="shared" si="1"/>
        <v>5.52</v>
      </c>
      <c r="H20" s="57">
        <f t="shared" si="1"/>
        <v>0</v>
      </c>
      <c r="I20" s="57">
        <f t="shared" si="1"/>
        <v>0</v>
      </c>
      <c r="J20" s="5" t="s">
        <v>42</v>
      </c>
      <c r="K20" s="19"/>
      <c r="L20" s="13"/>
      <c r="M20" s="14"/>
      <c r="N20" s="12"/>
      <c r="O20" s="12"/>
      <c r="P20" s="12"/>
      <c r="Q20" s="12"/>
      <c r="R20" s="12"/>
      <c r="S20" s="12"/>
      <c r="T20" s="12"/>
    </row>
    <row r="21" spans="1:22" ht="15" customHeight="1" x14ac:dyDescent="0.45">
      <c r="A21" s="12"/>
      <c r="B21" s="69" t="s">
        <v>44</v>
      </c>
      <c r="C21" s="45" t="s">
        <v>41</v>
      </c>
      <c r="D21" s="46">
        <v>0</v>
      </c>
      <c r="E21" s="56">
        <v>7.4999999999999997E-2</v>
      </c>
      <c r="F21" s="55">
        <f>E21*O10</f>
        <v>6.8999999999999995</v>
      </c>
      <c r="G21" s="65">
        <f t="shared" si="2"/>
        <v>0</v>
      </c>
      <c r="H21" s="64">
        <f t="shared" si="0"/>
        <v>0</v>
      </c>
      <c r="I21" s="52">
        <f t="shared" si="1"/>
        <v>5.52</v>
      </c>
      <c r="J21" s="57">
        <f t="shared" si="1"/>
        <v>0</v>
      </c>
      <c r="K21" s="57">
        <f t="shared" si="1"/>
        <v>0</v>
      </c>
      <c r="L21" s="5" t="s">
        <v>42</v>
      </c>
      <c r="M21" s="19"/>
      <c r="N21" s="13"/>
      <c r="O21" s="14"/>
      <c r="P21" s="12"/>
      <c r="Q21" s="12"/>
      <c r="R21" s="12"/>
      <c r="S21" s="12"/>
      <c r="T21" s="12"/>
      <c r="U21" s="12"/>
      <c r="V21" s="12"/>
    </row>
    <row r="22" spans="1:22" ht="15" customHeight="1" x14ac:dyDescent="0.45">
      <c r="A22" s="12"/>
      <c r="B22" s="69" t="s">
        <v>45</v>
      </c>
      <c r="C22" s="45" t="s">
        <v>41</v>
      </c>
      <c r="D22" s="46">
        <v>500</v>
      </c>
      <c r="E22" s="56">
        <v>7.4999999999999997E-2</v>
      </c>
      <c r="F22" s="55">
        <f>E22*O10</f>
        <v>6.8999999999999995</v>
      </c>
      <c r="G22" s="62">
        <f t="shared" si="2"/>
        <v>3449.9999999999995</v>
      </c>
      <c r="H22" s="64">
        <f t="shared" si="0"/>
        <v>41399.999999999993</v>
      </c>
      <c r="I22" s="52">
        <f t="shared" si="1"/>
        <v>5.52</v>
      </c>
      <c r="J22" s="57">
        <f t="shared" si="1"/>
        <v>2759.9999999999995</v>
      </c>
      <c r="K22" s="57">
        <f t="shared" si="1"/>
        <v>33119.999999999993</v>
      </c>
      <c r="L22" s="5" t="s">
        <v>42</v>
      </c>
      <c r="M22" s="19"/>
      <c r="N22" s="13"/>
      <c r="O22" s="14"/>
      <c r="P22" s="12"/>
      <c r="Q22" s="12"/>
      <c r="R22" s="12"/>
      <c r="S22" s="12"/>
      <c r="T22" s="12"/>
      <c r="U22" s="12"/>
      <c r="V22" s="12"/>
    </row>
    <row r="23" spans="1:22" ht="15" customHeight="1" x14ac:dyDescent="0.45">
      <c r="A23" s="12"/>
      <c r="B23" s="69" t="s">
        <v>46</v>
      </c>
      <c r="C23" s="45" t="s">
        <v>47</v>
      </c>
      <c r="D23" s="46">
        <v>0</v>
      </c>
      <c r="E23" s="53">
        <v>75</v>
      </c>
      <c r="F23" s="41">
        <f>E23*O10</f>
        <v>6900</v>
      </c>
      <c r="G23" s="62">
        <f t="shared" si="2"/>
        <v>0</v>
      </c>
      <c r="H23" s="64">
        <f t="shared" si="0"/>
        <v>0</v>
      </c>
      <c r="I23" s="58">
        <f t="shared" si="1"/>
        <v>5520</v>
      </c>
      <c r="J23" s="57">
        <f t="shared" si="1"/>
        <v>0</v>
      </c>
      <c r="K23" s="57">
        <f t="shared" si="1"/>
        <v>0</v>
      </c>
      <c r="L23" s="5" t="s">
        <v>42</v>
      </c>
      <c r="M23" s="19"/>
      <c r="N23" s="13"/>
      <c r="O23" s="12"/>
      <c r="P23" s="12"/>
      <c r="Q23" s="12"/>
      <c r="R23" s="12"/>
      <c r="S23" s="12"/>
      <c r="T23" s="12"/>
      <c r="U23" s="12"/>
      <c r="V23" s="12"/>
    </row>
    <row r="24" spans="1:22" ht="15" customHeight="1" x14ac:dyDescent="0.45">
      <c r="A24" s="12"/>
      <c r="B24" s="69" t="s">
        <v>48</v>
      </c>
      <c r="C24" s="45" t="s">
        <v>49</v>
      </c>
      <c r="D24" s="46">
        <v>0</v>
      </c>
      <c r="E24" s="53">
        <v>45</v>
      </c>
      <c r="F24" s="41">
        <f>E24*$O$10</f>
        <v>4140</v>
      </c>
      <c r="G24" s="62">
        <f t="shared" si="2"/>
        <v>0</v>
      </c>
      <c r="H24" s="64">
        <f t="shared" si="0"/>
        <v>0</v>
      </c>
      <c r="I24" s="58">
        <f t="shared" si="1"/>
        <v>3312</v>
      </c>
      <c r="J24" s="57">
        <f t="shared" si="1"/>
        <v>0</v>
      </c>
      <c r="K24" s="57">
        <f t="shared" si="1"/>
        <v>0</v>
      </c>
      <c r="L24" s="5" t="s">
        <v>42</v>
      </c>
      <c r="M24" s="19"/>
      <c r="N24" s="13"/>
      <c r="O24" s="12"/>
      <c r="P24" s="12"/>
      <c r="Q24" s="12"/>
      <c r="R24" s="12"/>
      <c r="S24" s="12"/>
      <c r="T24" s="12"/>
      <c r="U24" s="12"/>
      <c r="V24" s="12"/>
    </row>
    <row r="25" spans="1:22" ht="15" customHeight="1" x14ac:dyDescent="0.45">
      <c r="A25" s="12"/>
      <c r="B25" s="81"/>
      <c r="C25" s="82"/>
      <c r="D25" s="83"/>
      <c r="E25" s="84"/>
      <c r="F25" s="85"/>
      <c r="G25" s="86"/>
      <c r="H25" s="87"/>
      <c r="I25" s="88"/>
      <c r="J25" s="89"/>
      <c r="K25" s="89"/>
      <c r="L25" s="21"/>
      <c r="M25" s="19"/>
      <c r="N25" s="13"/>
      <c r="O25" s="12"/>
      <c r="P25" s="12"/>
      <c r="Q25" s="12"/>
      <c r="R25" s="12"/>
      <c r="S25" s="12"/>
      <c r="T25" s="12"/>
      <c r="U25" s="12"/>
      <c r="V25" s="12"/>
    </row>
    <row r="26" spans="1:22" x14ac:dyDescent="0.45">
      <c r="A26" s="12"/>
      <c r="B26" s="75" t="s">
        <v>50</v>
      </c>
      <c r="C26" s="47"/>
      <c r="D26" s="47"/>
      <c r="E26" s="54"/>
      <c r="F26" s="54"/>
      <c r="G26" s="54"/>
      <c r="H26" s="54"/>
      <c r="I26" s="48"/>
      <c r="J26" s="48"/>
      <c r="K26" s="48"/>
      <c r="L26" s="40"/>
      <c r="M26" s="28"/>
      <c r="N26" s="13"/>
      <c r="O26" s="12"/>
      <c r="P26" s="12"/>
      <c r="Q26" s="12"/>
      <c r="R26" s="12"/>
      <c r="S26" s="12"/>
      <c r="T26" s="12"/>
      <c r="U26" s="12"/>
      <c r="V26" s="12"/>
    </row>
    <row r="27" spans="1:22" x14ac:dyDescent="0.45">
      <c r="A27" s="12"/>
      <c r="B27" s="69" t="s">
        <v>51</v>
      </c>
      <c r="C27" s="45" t="s">
        <v>47</v>
      </c>
      <c r="D27" s="46">
        <v>1</v>
      </c>
      <c r="E27" s="46">
        <v>7.5</v>
      </c>
      <c r="F27" s="41">
        <f>E27*$O$10</f>
        <v>690</v>
      </c>
      <c r="G27" s="65">
        <f>D27*F27</f>
        <v>690</v>
      </c>
      <c r="H27" s="92">
        <f>(F27*D27)*12</f>
        <v>8280</v>
      </c>
      <c r="I27" s="58">
        <f>F27-(F27*$O$11%)</f>
        <v>552</v>
      </c>
      <c r="J27" s="57">
        <f>G27-(G27*$O$11%)</f>
        <v>552</v>
      </c>
      <c r="K27" s="57">
        <f>H27-(H27*$O$11%)</f>
        <v>6624</v>
      </c>
      <c r="L27" s="6"/>
      <c r="M27" s="29"/>
      <c r="N27" s="13"/>
      <c r="O27" s="12"/>
      <c r="P27" s="12"/>
      <c r="Q27" s="12"/>
      <c r="R27" s="12"/>
      <c r="S27" s="12"/>
      <c r="T27" s="12"/>
      <c r="U27" s="12"/>
      <c r="V27" s="12"/>
    </row>
    <row r="28" spans="1:22" x14ac:dyDescent="0.45">
      <c r="A28" s="12"/>
      <c r="B28" s="70"/>
      <c r="C28" s="49"/>
      <c r="D28" s="49"/>
      <c r="E28" s="49"/>
      <c r="F28" s="50"/>
      <c r="G28" s="66"/>
      <c r="H28" s="66"/>
      <c r="I28" s="51"/>
      <c r="J28" s="59"/>
      <c r="K28" s="59"/>
      <c r="L28" s="21"/>
      <c r="M28" s="19"/>
      <c r="N28" s="13"/>
      <c r="O28" s="12"/>
      <c r="P28" s="12"/>
      <c r="Q28" s="12"/>
      <c r="R28" s="12"/>
      <c r="S28" s="12"/>
      <c r="T28" s="12"/>
      <c r="U28" s="12"/>
      <c r="V28" s="12"/>
    </row>
    <row r="29" spans="1:22" x14ac:dyDescent="0.45">
      <c r="A29" s="12"/>
      <c r="B29" s="71" t="s">
        <v>52</v>
      </c>
      <c r="C29" s="72"/>
      <c r="D29" s="72"/>
      <c r="E29" s="72"/>
      <c r="F29" s="73"/>
      <c r="G29" s="65">
        <f>SUM(G18:G27)</f>
        <v>4145.5199999999995</v>
      </c>
      <c r="H29" s="63">
        <f>SUM(H18:H27)</f>
        <v>49679.999999999993</v>
      </c>
      <c r="I29" s="65"/>
      <c r="J29" s="57">
        <f>G29-(G29*$O$11%)</f>
        <v>3316.4159999999997</v>
      </c>
      <c r="K29" s="60">
        <f>SUM(K18:K27)</f>
        <v>39743.999999999993</v>
      </c>
      <c r="L29" s="5"/>
      <c r="M29" s="19"/>
      <c r="N29" s="13"/>
      <c r="O29" s="12"/>
      <c r="P29" s="12"/>
      <c r="Q29" s="12"/>
      <c r="R29" s="12"/>
      <c r="S29" s="12"/>
      <c r="T29" s="12"/>
      <c r="U29" s="12"/>
      <c r="V29" s="12"/>
    </row>
    <row r="30" spans="1:22" x14ac:dyDescent="0.45">
      <c r="A30" s="12"/>
      <c r="B30" s="71" t="s">
        <v>53</v>
      </c>
      <c r="C30" s="72"/>
      <c r="D30" s="72"/>
      <c r="E30" s="72"/>
      <c r="F30" s="73"/>
      <c r="G30" s="67"/>
      <c r="H30" s="63">
        <v>4999</v>
      </c>
      <c r="I30" s="67"/>
      <c r="J30" s="67"/>
      <c r="K30" s="61">
        <f>H30-(H30*$O$11%)</f>
        <v>3999.2</v>
      </c>
      <c r="L30" s="5"/>
      <c r="M30" s="19"/>
      <c r="N30" s="13"/>
      <c r="O30" s="12"/>
      <c r="P30" s="12"/>
      <c r="Q30" s="12"/>
      <c r="R30" s="12"/>
      <c r="S30" s="12"/>
      <c r="T30" s="12"/>
      <c r="U30" s="12"/>
      <c r="V30" s="12"/>
    </row>
    <row r="31" spans="1:22" x14ac:dyDescent="0.45">
      <c r="A31" s="12"/>
      <c r="B31" s="71" t="s">
        <v>54</v>
      </c>
      <c r="C31" s="72"/>
      <c r="D31" s="72"/>
      <c r="E31" s="72"/>
      <c r="F31" s="72"/>
      <c r="G31" s="72"/>
      <c r="H31" s="72"/>
      <c r="I31" s="72"/>
      <c r="J31" s="72"/>
      <c r="K31" s="72"/>
      <c r="L31" s="73"/>
      <c r="M31" s="30"/>
      <c r="N31" s="13"/>
      <c r="O31" s="12"/>
      <c r="P31" s="12"/>
      <c r="Q31" s="12"/>
      <c r="R31" s="12"/>
      <c r="S31" s="12"/>
      <c r="T31" s="12"/>
      <c r="U31" s="12"/>
      <c r="V31" s="12"/>
    </row>
    <row r="32" spans="1:22" x14ac:dyDescent="0.45">
      <c r="A32" s="12"/>
      <c r="B32" s="140"/>
      <c r="C32" s="141"/>
      <c r="D32" s="141"/>
      <c r="E32" s="141"/>
      <c r="F32" s="141"/>
      <c r="G32" s="141"/>
      <c r="H32" s="141"/>
      <c r="I32" s="141"/>
      <c r="J32" s="141"/>
      <c r="K32" s="141"/>
      <c r="L32" s="142"/>
      <c r="M32" s="31"/>
      <c r="N32" s="13"/>
      <c r="O32" s="12"/>
      <c r="P32" s="12"/>
      <c r="Q32" s="12"/>
      <c r="R32" s="12"/>
      <c r="S32" s="12"/>
      <c r="T32" s="12"/>
      <c r="U32" s="12"/>
      <c r="V32" s="12"/>
    </row>
    <row r="33" spans="1:22" x14ac:dyDescent="0.45">
      <c r="A33" s="12"/>
      <c r="B33" s="113" t="s">
        <v>55</v>
      </c>
      <c r="C33" s="114"/>
      <c r="D33" s="114"/>
      <c r="E33" s="114"/>
      <c r="F33" s="114"/>
      <c r="G33" s="114"/>
      <c r="H33" s="114"/>
      <c r="I33" s="114"/>
      <c r="J33" s="114"/>
      <c r="K33" s="114"/>
      <c r="L33" s="115"/>
      <c r="M33" s="32"/>
      <c r="N33" s="13"/>
      <c r="O33" s="12"/>
      <c r="P33" s="12"/>
      <c r="Q33" s="12"/>
      <c r="R33" s="12"/>
      <c r="S33" s="12"/>
      <c r="T33" s="12"/>
      <c r="U33" s="12"/>
      <c r="V33" s="12"/>
    </row>
    <row r="34" spans="1:22" x14ac:dyDescent="0.45">
      <c r="A34" s="12"/>
      <c r="B34" s="95" t="s">
        <v>56</v>
      </c>
      <c r="C34" s="96"/>
      <c r="D34" s="96"/>
      <c r="E34" s="96"/>
      <c r="F34" s="96"/>
      <c r="G34" s="96"/>
      <c r="H34" s="96"/>
      <c r="I34" s="96"/>
      <c r="J34" s="96"/>
      <c r="K34" s="96"/>
      <c r="L34" s="97"/>
      <c r="M34" s="33"/>
      <c r="N34" s="13"/>
      <c r="O34" s="12"/>
      <c r="P34" s="12"/>
      <c r="Q34" s="12"/>
      <c r="R34" s="12"/>
      <c r="S34" s="12"/>
      <c r="T34" s="12"/>
      <c r="U34" s="12"/>
      <c r="V34" s="12"/>
    </row>
    <row r="35" spans="1:22" x14ac:dyDescent="0.45">
      <c r="A35" s="12"/>
      <c r="B35" s="98" t="s">
        <v>57</v>
      </c>
      <c r="C35" s="99"/>
      <c r="D35" s="99"/>
      <c r="E35" s="99"/>
      <c r="F35" s="99"/>
      <c r="G35" s="99"/>
      <c r="H35" s="99"/>
      <c r="I35" s="99"/>
      <c r="J35" s="99"/>
      <c r="K35" s="99"/>
      <c r="L35" s="100"/>
      <c r="M35" s="33"/>
      <c r="N35" s="13"/>
      <c r="O35" s="12"/>
      <c r="P35" s="12"/>
      <c r="Q35" s="12"/>
      <c r="R35" s="12"/>
      <c r="S35" s="12"/>
      <c r="T35" s="12"/>
      <c r="U35" s="12"/>
      <c r="V35" s="12"/>
    </row>
    <row r="36" spans="1:22" x14ac:dyDescent="0.45">
      <c r="A36" s="12"/>
      <c r="B36" s="98" t="s">
        <v>58</v>
      </c>
      <c r="C36" s="99"/>
      <c r="D36" s="99"/>
      <c r="E36" s="99"/>
      <c r="F36" s="99"/>
      <c r="G36" s="99"/>
      <c r="H36" s="99"/>
      <c r="I36" s="99"/>
      <c r="J36" s="99"/>
      <c r="K36" s="99"/>
      <c r="L36" s="100"/>
      <c r="M36" s="33"/>
      <c r="N36" s="13"/>
      <c r="O36" s="12"/>
      <c r="P36" s="12"/>
      <c r="Q36" s="12"/>
      <c r="R36" s="12"/>
      <c r="S36" s="12"/>
      <c r="T36" s="12"/>
      <c r="U36" s="12"/>
      <c r="V36" s="12"/>
    </row>
    <row r="37" spans="1:22" x14ac:dyDescent="0.45">
      <c r="A37" s="12"/>
      <c r="B37" s="101" t="s">
        <v>59</v>
      </c>
      <c r="C37" s="102"/>
      <c r="D37" s="102"/>
      <c r="E37" s="102"/>
      <c r="F37" s="102"/>
      <c r="G37" s="102"/>
      <c r="H37" s="102"/>
      <c r="I37" s="102"/>
      <c r="J37" s="102"/>
      <c r="K37" s="102"/>
      <c r="L37" s="103"/>
      <c r="M37" s="33"/>
      <c r="N37" s="13"/>
      <c r="O37" s="12"/>
      <c r="P37" s="12"/>
      <c r="Q37" s="12"/>
      <c r="R37" s="12"/>
      <c r="S37" s="12"/>
      <c r="T37" s="12"/>
      <c r="U37" s="12"/>
      <c r="V37" s="12"/>
    </row>
    <row r="38" spans="1:22" x14ac:dyDescent="0.45">
      <c r="A38" s="12"/>
      <c r="B38" s="98" t="s">
        <v>60</v>
      </c>
      <c r="C38" s="99"/>
      <c r="D38" s="99"/>
      <c r="E38" s="99"/>
      <c r="F38" s="99"/>
      <c r="G38" s="99"/>
      <c r="H38" s="99"/>
      <c r="I38" s="99"/>
      <c r="J38" s="99"/>
      <c r="K38" s="99"/>
      <c r="L38" s="100"/>
      <c r="M38" s="33"/>
      <c r="N38" s="13"/>
      <c r="O38" s="12"/>
      <c r="P38" s="12"/>
      <c r="Q38" s="12"/>
      <c r="R38" s="12"/>
      <c r="S38" s="12"/>
      <c r="T38" s="12"/>
      <c r="U38" s="12"/>
      <c r="V38" s="12"/>
    </row>
    <row r="39" spans="1:22" x14ac:dyDescent="0.45">
      <c r="A39" s="12"/>
      <c r="B39" s="98"/>
      <c r="C39" s="99"/>
      <c r="D39" s="99"/>
      <c r="E39" s="99"/>
      <c r="F39" s="99"/>
      <c r="G39" s="99"/>
      <c r="H39" s="99"/>
      <c r="I39" s="99"/>
      <c r="J39" s="99"/>
      <c r="K39" s="99"/>
      <c r="L39" s="100"/>
      <c r="M39" s="33"/>
      <c r="N39" s="13"/>
      <c r="O39" s="12"/>
      <c r="P39" s="12"/>
      <c r="Q39" s="12"/>
      <c r="R39" s="12"/>
      <c r="S39" s="12"/>
      <c r="T39" s="12"/>
      <c r="U39" s="12"/>
      <c r="V39" s="12"/>
    </row>
    <row r="40" spans="1:22" x14ac:dyDescent="0.45">
      <c r="A40" s="12"/>
      <c r="B40" s="113" t="s">
        <v>61</v>
      </c>
      <c r="C40" s="114"/>
      <c r="D40" s="114"/>
      <c r="E40" s="114"/>
      <c r="F40" s="114"/>
      <c r="G40" s="114"/>
      <c r="H40" s="114"/>
      <c r="I40" s="114"/>
      <c r="J40" s="114"/>
      <c r="K40" s="114"/>
      <c r="L40" s="115"/>
      <c r="M40" s="32"/>
      <c r="N40" s="13"/>
      <c r="O40" s="12"/>
      <c r="P40" s="12"/>
      <c r="Q40" s="12"/>
      <c r="R40" s="12"/>
      <c r="S40" s="12"/>
      <c r="T40" s="12"/>
      <c r="U40" s="12"/>
      <c r="V40" s="12"/>
    </row>
    <row r="41" spans="1:22" x14ac:dyDescent="0.45">
      <c r="A41" s="12"/>
      <c r="B41" s="98" t="s">
        <v>62</v>
      </c>
      <c r="C41" s="99"/>
      <c r="D41" s="99"/>
      <c r="E41" s="99"/>
      <c r="F41" s="99"/>
      <c r="G41" s="99"/>
      <c r="H41" s="99"/>
      <c r="I41" s="99"/>
      <c r="J41" s="99"/>
      <c r="K41" s="99"/>
      <c r="L41" s="100"/>
      <c r="M41" s="33"/>
      <c r="N41" s="13"/>
      <c r="O41" s="12"/>
      <c r="P41" s="12"/>
      <c r="Q41" s="12"/>
      <c r="R41" s="12"/>
      <c r="S41" s="12"/>
      <c r="T41" s="12"/>
      <c r="U41" s="12"/>
      <c r="V41" s="12"/>
    </row>
    <row r="42" spans="1:22" x14ac:dyDescent="0.45">
      <c r="A42" s="12"/>
      <c r="B42" s="98" t="s">
        <v>63</v>
      </c>
      <c r="C42" s="99"/>
      <c r="D42" s="99"/>
      <c r="E42" s="99"/>
      <c r="F42" s="99"/>
      <c r="G42" s="99"/>
      <c r="H42" s="99"/>
      <c r="I42" s="99"/>
      <c r="J42" s="99"/>
      <c r="K42" s="99"/>
      <c r="L42" s="100"/>
      <c r="M42" s="33"/>
      <c r="N42" s="13"/>
      <c r="O42" s="12"/>
      <c r="P42" s="12"/>
      <c r="Q42" s="12"/>
      <c r="R42" s="12"/>
      <c r="S42" s="12"/>
      <c r="T42" s="12"/>
      <c r="U42" s="12"/>
      <c r="V42" s="12"/>
    </row>
    <row r="43" spans="1:22" x14ac:dyDescent="0.45">
      <c r="A43" s="12"/>
      <c r="B43" s="98" t="s">
        <v>64</v>
      </c>
      <c r="C43" s="99"/>
      <c r="D43" s="99"/>
      <c r="E43" s="99"/>
      <c r="F43" s="99"/>
      <c r="G43" s="99"/>
      <c r="H43" s="99"/>
      <c r="I43" s="99"/>
      <c r="J43" s="99"/>
      <c r="K43" s="99"/>
      <c r="L43" s="100"/>
      <c r="M43" s="33"/>
      <c r="N43" s="13"/>
      <c r="O43" s="12"/>
      <c r="P43" s="12"/>
      <c r="Q43" s="12"/>
      <c r="R43" s="12"/>
      <c r="S43" s="12"/>
      <c r="T43" s="12"/>
      <c r="U43" s="12"/>
      <c r="V43" s="12"/>
    </row>
    <row r="44" spans="1:22" x14ac:dyDescent="0.45">
      <c r="A44" s="12"/>
      <c r="B44" s="98" t="s">
        <v>65</v>
      </c>
      <c r="C44" s="99"/>
      <c r="D44" s="99"/>
      <c r="E44" s="99"/>
      <c r="F44" s="99"/>
      <c r="G44" s="99"/>
      <c r="H44" s="99"/>
      <c r="I44" s="99"/>
      <c r="J44" s="99"/>
      <c r="K44" s="99"/>
      <c r="L44" s="100"/>
      <c r="M44" s="33"/>
      <c r="N44" s="13"/>
      <c r="O44" s="12"/>
      <c r="P44" s="12"/>
      <c r="Q44" s="12"/>
      <c r="R44" s="12"/>
      <c r="S44" s="12"/>
      <c r="T44" s="12"/>
      <c r="U44" s="12"/>
      <c r="V44" s="12"/>
    </row>
    <row r="45" spans="1:22" x14ac:dyDescent="0.45">
      <c r="A45" s="12"/>
      <c r="B45" s="98" t="s">
        <v>66</v>
      </c>
      <c r="C45" s="99"/>
      <c r="D45" s="99"/>
      <c r="E45" s="99"/>
      <c r="F45" s="99"/>
      <c r="G45" s="99"/>
      <c r="H45" s="99"/>
      <c r="I45" s="99"/>
      <c r="J45" s="99"/>
      <c r="K45" s="99"/>
      <c r="L45" s="100"/>
      <c r="M45" s="33"/>
      <c r="N45" s="13"/>
      <c r="O45" s="12"/>
      <c r="P45" s="12"/>
      <c r="Q45" s="12"/>
      <c r="R45" s="12"/>
      <c r="S45" s="12"/>
      <c r="T45" s="12"/>
      <c r="U45" s="12"/>
      <c r="V45" s="12"/>
    </row>
    <row r="46" spans="1:22" x14ac:dyDescent="0.45">
      <c r="A46" s="12"/>
      <c r="B46" s="98" t="s">
        <v>67</v>
      </c>
      <c r="C46" s="99"/>
      <c r="D46" s="99"/>
      <c r="E46" s="99"/>
      <c r="F46" s="99"/>
      <c r="G46" s="99"/>
      <c r="H46" s="99"/>
      <c r="I46" s="99"/>
      <c r="J46" s="99"/>
      <c r="K46" s="99"/>
      <c r="L46" s="100"/>
      <c r="M46" s="33"/>
      <c r="N46" s="13"/>
      <c r="O46" s="12"/>
      <c r="P46" s="12"/>
      <c r="Q46" s="12"/>
      <c r="R46" s="12"/>
      <c r="S46" s="12"/>
      <c r="T46" s="12"/>
      <c r="U46" s="12"/>
      <c r="V46" s="12"/>
    </row>
    <row r="47" spans="1:22" x14ac:dyDescent="0.45">
      <c r="A47" s="12"/>
      <c r="B47" s="98" t="s">
        <v>68</v>
      </c>
      <c r="C47" s="99"/>
      <c r="D47" s="99"/>
      <c r="E47" s="99"/>
      <c r="F47" s="99"/>
      <c r="G47" s="99"/>
      <c r="H47" s="99"/>
      <c r="I47" s="99"/>
      <c r="J47" s="99"/>
      <c r="K47" s="99"/>
      <c r="L47" s="100"/>
      <c r="M47" s="33"/>
      <c r="N47" s="13"/>
      <c r="O47" s="12"/>
      <c r="P47" s="12"/>
      <c r="Q47" s="12"/>
      <c r="R47" s="12"/>
      <c r="S47" s="12"/>
      <c r="T47" s="12"/>
      <c r="U47" s="12"/>
      <c r="V47" s="12"/>
    </row>
    <row r="48" spans="1:22" x14ac:dyDescent="0.45">
      <c r="A48" s="12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100"/>
      <c r="M48" s="33"/>
      <c r="N48" s="13"/>
      <c r="O48" s="12"/>
      <c r="P48" s="12"/>
      <c r="Q48" s="12"/>
      <c r="R48" s="12"/>
      <c r="S48" s="12"/>
      <c r="T48" s="12"/>
      <c r="U48" s="12"/>
      <c r="V48" s="12"/>
    </row>
    <row r="49" spans="1:22" x14ac:dyDescent="0.45">
      <c r="A49" s="12"/>
      <c r="B49" s="113" t="s">
        <v>69</v>
      </c>
      <c r="C49" s="114"/>
      <c r="D49" s="114"/>
      <c r="E49" s="114"/>
      <c r="F49" s="114"/>
      <c r="G49" s="114"/>
      <c r="H49" s="114"/>
      <c r="I49" s="114"/>
      <c r="J49" s="114"/>
      <c r="K49" s="114"/>
      <c r="L49" s="115"/>
      <c r="M49" s="32"/>
      <c r="N49" s="13"/>
      <c r="O49" s="12"/>
      <c r="P49" s="12"/>
      <c r="Q49" s="12"/>
      <c r="R49" s="12"/>
      <c r="S49" s="12"/>
      <c r="T49" s="12"/>
      <c r="U49" s="12"/>
      <c r="V49" s="12"/>
    </row>
    <row r="50" spans="1:22" x14ac:dyDescent="0.45">
      <c r="A50" s="12"/>
      <c r="B50" s="95" t="s">
        <v>70</v>
      </c>
      <c r="C50" s="96"/>
      <c r="D50" s="96"/>
      <c r="E50" s="96"/>
      <c r="F50" s="96"/>
      <c r="G50" s="96"/>
      <c r="H50" s="96"/>
      <c r="I50" s="96"/>
      <c r="J50" s="96"/>
      <c r="K50" s="96"/>
      <c r="L50" s="97"/>
      <c r="M50" s="34"/>
      <c r="N50" s="13"/>
      <c r="O50" s="12"/>
      <c r="P50" s="12"/>
      <c r="Q50" s="12"/>
      <c r="R50" s="12"/>
      <c r="S50" s="12"/>
      <c r="T50" s="12"/>
      <c r="U50" s="12"/>
      <c r="V50" s="12"/>
    </row>
    <row r="51" spans="1:22" x14ac:dyDescent="0.45">
      <c r="A51" s="12"/>
      <c r="B51" s="98" t="s">
        <v>71</v>
      </c>
      <c r="C51" s="99"/>
      <c r="D51" s="99"/>
      <c r="E51" s="99"/>
      <c r="F51" s="99"/>
      <c r="G51" s="99"/>
      <c r="H51" s="99"/>
      <c r="I51" s="99"/>
      <c r="J51" s="99"/>
      <c r="K51" s="99"/>
      <c r="L51" s="100"/>
      <c r="M51" s="33"/>
      <c r="N51" s="13"/>
      <c r="O51" s="12"/>
      <c r="P51" s="12"/>
      <c r="Q51" s="12"/>
      <c r="R51" s="12"/>
      <c r="S51" s="12"/>
      <c r="T51" s="12"/>
      <c r="U51" s="12"/>
      <c r="V51" s="12"/>
    </row>
    <row r="52" spans="1:22" x14ac:dyDescent="0.45">
      <c r="A52" s="12"/>
      <c r="B52" s="98" t="s">
        <v>72</v>
      </c>
      <c r="C52" s="99"/>
      <c r="D52" s="99"/>
      <c r="E52" s="99"/>
      <c r="F52" s="99"/>
      <c r="G52" s="99"/>
      <c r="H52" s="99"/>
      <c r="I52" s="99"/>
      <c r="J52" s="99"/>
      <c r="K52" s="99"/>
      <c r="L52" s="100"/>
      <c r="M52" s="33"/>
      <c r="N52" s="13"/>
      <c r="O52" s="12"/>
      <c r="P52" s="12"/>
      <c r="Q52" s="12"/>
      <c r="R52" s="12"/>
      <c r="S52" s="12"/>
      <c r="T52" s="12"/>
      <c r="U52" s="12"/>
      <c r="V52" s="12"/>
    </row>
    <row r="53" spans="1:22" x14ac:dyDescent="0.45">
      <c r="A53" s="12"/>
      <c r="B53" s="98" t="s">
        <v>73</v>
      </c>
      <c r="C53" s="99"/>
      <c r="D53" s="99"/>
      <c r="E53" s="99"/>
      <c r="F53" s="99"/>
      <c r="G53" s="99"/>
      <c r="H53" s="99"/>
      <c r="I53" s="99"/>
      <c r="J53" s="99"/>
      <c r="K53" s="99"/>
      <c r="L53" s="100"/>
      <c r="M53" s="33"/>
      <c r="N53" s="13"/>
      <c r="O53" s="12"/>
      <c r="P53" s="12"/>
      <c r="Q53" s="12"/>
      <c r="R53" s="12"/>
      <c r="S53" s="12"/>
      <c r="T53" s="12"/>
      <c r="U53" s="12"/>
      <c r="V53" s="12"/>
    </row>
    <row r="54" spans="1:22" x14ac:dyDescent="0.45">
      <c r="A54" s="12"/>
      <c r="B54" s="98" t="s">
        <v>74</v>
      </c>
      <c r="C54" s="99"/>
      <c r="D54" s="99"/>
      <c r="E54" s="99"/>
      <c r="F54" s="99"/>
      <c r="G54" s="99"/>
      <c r="H54" s="99"/>
      <c r="I54" s="99"/>
      <c r="J54" s="99"/>
      <c r="K54" s="99"/>
      <c r="L54" s="100"/>
      <c r="M54" s="33"/>
      <c r="N54" s="13"/>
      <c r="O54" s="12"/>
      <c r="P54" s="12"/>
      <c r="Q54" s="12"/>
      <c r="R54" s="12"/>
      <c r="S54" s="12"/>
      <c r="T54" s="12"/>
      <c r="U54" s="12"/>
      <c r="V54" s="12"/>
    </row>
    <row r="55" spans="1:22" x14ac:dyDescent="0.45">
      <c r="A55" s="12"/>
      <c r="B55" s="98" t="s">
        <v>75</v>
      </c>
      <c r="C55" s="99"/>
      <c r="D55" s="99"/>
      <c r="E55" s="99"/>
      <c r="F55" s="99"/>
      <c r="G55" s="99"/>
      <c r="H55" s="99"/>
      <c r="I55" s="99"/>
      <c r="J55" s="99"/>
      <c r="K55" s="99"/>
      <c r="L55" s="100"/>
      <c r="M55" s="33"/>
      <c r="N55" s="13"/>
      <c r="O55" s="12"/>
      <c r="P55" s="12"/>
      <c r="Q55" s="12"/>
      <c r="R55" s="12"/>
      <c r="S55" s="12"/>
      <c r="T55" s="12"/>
      <c r="U55" s="12"/>
      <c r="V55" s="12"/>
    </row>
    <row r="56" spans="1:22" x14ac:dyDescent="0.45">
      <c r="A56" s="12"/>
      <c r="B56" s="98" t="s">
        <v>76</v>
      </c>
      <c r="C56" s="99"/>
      <c r="D56" s="99"/>
      <c r="E56" s="99"/>
      <c r="F56" s="99"/>
      <c r="G56" s="99"/>
      <c r="H56" s="99"/>
      <c r="I56" s="99"/>
      <c r="J56" s="99"/>
      <c r="K56" s="99"/>
      <c r="L56" s="100"/>
      <c r="M56" s="33"/>
      <c r="N56" s="13"/>
      <c r="O56" s="12"/>
      <c r="P56" s="12"/>
      <c r="Q56" s="12"/>
      <c r="R56" s="12"/>
      <c r="S56" s="12"/>
      <c r="T56" s="12"/>
      <c r="U56" s="12"/>
      <c r="V56" s="12"/>
    </row>
    <row r="57" spans="1:22" x14ac:dyDescent="0.45">
      <c r="A57" s="12"/>
      <c r="B57" s="98" t="s">
        <v>77</v>
      </c>
      <c r="C57" s="99"/>
      <c r="D57" s="99"/>
      <c r="E57" s="99"/>
      <c r="F57" s="99"/>
      <c r="G57" s="99"/>
      <c r="H57" s="99"/>
      <c r="I57" s="99"/>
      <c r="J57" s="99"/>
      <c r="K57" s="99"/>
      <c r="L57" s="100"/>
      <c r="M57" s="33"/>
      <c r="N57" s="13"/>
      <c r="O57" s="12"/>
      <c r="P57" s="12"/>
      <c r="Q57" s="12"/>
      <c r="R57" s="12"/>
      <c r="S57" s="12"/>
      <c r="T57" s="12"/>
      <c r="U57" s="12"/>
      <c r="V57" s="12"/>
    </row>
    <row r="58" spans="1:22" x14ac:dyDescent="0.45">
      <c r="A58" s="12"/>
      <c r="B58" s="98" t="s">
        <v>78</v>
      </c>
      <c r="C58" s="99"/>
      <c r="D58" s="99"/>
      <c r="E58" s="99"/>
      <c r="F58" s="99"/>
      <c r="G58" s="99"/>
      <c r="H58" s="99"/>
      <c r="I58" s="99"/>
      <c r="J58" s="99"/>
      <c r="K58" s="99"/>
      <c r="L58" s="100"/>
      <c r="M58" s="33"/>
      <c r="N58" s="13"/>
      <c r="O58" s="12"/>
      <c r="P58" s="12"/>
      <c r="Q58" s="12"/>
      <c r="R58" s="12"/>
      <c r="S58" s="12"/>
      <c r="T58" s="12"/>
      <c r="U58" s="12"/>
      <c r="V58" s="12"/>
    </row>
    <row r="59" spans="1:22" x14ac:dyDescent="0.45">
      <c r="A59" s="12"/>
      <c r="B59" s="98" t="s">
        <v>79</v>
      </c>
      <c r="C59" s="99"/>
      <c r="D59" s="99"/>
      <c r="E59" s="99"/>
      <c r="F59" s="99"/>
      <c r="G59" s="99"/>
      <c r="H59" s="99"/>
      <c r="I59" s="99"/>
      <c r="J59" s="99"/>
      <c r="K59" s="99"/>
      <c r="L59" s="100"/>
      <c r="M59" s="33"/>
      <c r="N59" s="13"/>
      <c r="O59" s="12"/>
      <c r="P59" s="12"/>
      <c r="Q59" s="12"/>
      <c r="R59" s="12"/>
      <c r="S59" s="12"/>
      <c r="T59" s="12"/>
      <c r="U59" s="12"/>
      <c r="V59" s="12"/>
    </row>
    <row r="60" spans="1:22" x14ac:dyDescent="0.45">
      <c r="A60" s="12"/>
      <c r="B60" s="98" t="s">
        <v>80</v>
      </c>
      <c r="C60" s="99"/>
      <c r="D60" s="99"/>
      <c r="E60" s="99"/>
      <c r="F60" s="99"/>
      <c r="G60" s="99"/>
      <c r="H60" s="99"/>
      <c r="I60" s="99"/>
      <c r="J60" s="99"/>
      <c r="K60" s="99"/>
      <c r="L60" s="100"/>
      <c r="M60" s="33"/>
      <c r="N60" s="13"/>
      <c r="O60" s="12"/>
      <c r="P60" s="12"/>
      <c r="Q60" s="12"/>
      <c r="R60" s="12"/>
      <c r="S60" s="12"/>
      <c r="T60" s="12"/>
      <c r="U60" s="12"/>
      <c r="V60" s="12"/>
    </row>
    <row r="61" spans="1:22" x14ac:dyDescent="0.45">
      <c r="A61" s="12"/>
      <c r="B61" s="98" t="s">
        <v>81</v>
      </c>
      <c r="C61" s="99"/>
      <c r="D61" s="99"/>
      <c r="E61" s="99"/>
      <c r="F61" s="99"/>
      <c r="G61" s="99"/>
      <c r="H61" s="99"/>
      <c r="I61" s="99"/>
      <c r="J61" s="99"/>
      <c r="K61" s="99"/>
      <c r="L61" s="100"/>
      <c r="M61" s="33"/>
      <c r="N61" s="13"/>
      <c r="O61" s="12"/>
      <c r="P61" s="12"/>
      <c r="Q61" s="12"/>
      <c r="R61" s="12"/>
      <c r="S61" s="12"/>
      <c r="T61" s="12"/>
      <c r="U61" s="12"/>
      <c r="V61" s="12"/>
    </row>
    <row r="62" spans="1:22" x14ac:dyDescent="0.45">
      <c r="A62" s="12"/>
      <c r="B62" s="98" t="s">
        <v>82</v>
      </c>
      <c r="C62" s="99"/>
      <c r="D62" s="99"/>
      <c r="E62" s="99"/>
      <c r="F62" s="99"/>
      <c r="G62" s="99"/>
      <c r="H62" s="99"/>
      <c r="I62" s="99"/>
      <c r="J62" s="99"/>
      <c r="K62" s="99"/>
      <c r="L62" s="100"/>
      <c r="M62" s="33"/>
      <c r="N62" s="13"/>
      <c r="O62" s="12"/>
      <c r="P62" s="12"/>
      <c r="Q62" s="12"/>
      <c r="R62" s="12"/>
      <c r="S62" s="12"/>
      <c r="T62" s="12"/>
      <c r="U62" s="12"/>
      <c r="V62" s="12"/>
    </row>
    <row r="63" spans="1:22" x14ac:dyDescent="0.45">
      <c r="A63" s="12"/>
      <c r="B63" s="98" t="s">
        <v>83</v>
      </c>
      <c r="C63" s="99"/>
      <c r="D63" s="99"/>
      <c r="E63" s="99"/>
      <c r="F63" s="99"/>
      <c r="G63" s="99"/>
      <c r="H63" s="99"/>
      <c r="I63" s="99"/>
      <c r="J63" s="99"/>
      <c r="K63" s="99"/>
      <c r="L63" s="100"/>
      <c r="M63" s="33"/>
      <c r="N63" s="13"/>
      <c r="O63" s="12"/>
      <c r="P63" s="12"/>
      <c r="Q63" s="12"/>
      <c r="R63" s="12"/>
      <c r="S63" s="12"/>
      <c r="T63" s="12"/>
      <c r="U63" s="12"/>
      <c r="V63" s="12"/>
    </row>
    <row r="64" spans="1:22" x14ac:dyDescent="0.45">
      <c r="A64" s="12"/>
      <c r="B64" s="98" t="s">
        <v>84</v>
      </c>
      <c r="C64" s="99"/>
      <c r="D64" s="99"/>
      <c r="E64" s="99"/>
      <c r="F64" s="99"/>
      <c r="G64" s="99"/>
      <c r="H64" s="99"/>
      <c r="I64" s="99"/>
      <c r="J64" s="99"/>
      <c r="K64" s="99"/>
      <c r="L64" s="100"/>
      <c r="M64" s="33"/>
      <c r="N64" s="13"/>
      <c r="O64" s="12"/>
      <c r="P64" s="12"/>
      <c r="Q64" s="12"/>
      <c r="R64" s="12"/>
      <c r="S64" s="12"/>
      <c r="T64" s="12"/>
      <c r="U64" s="12"/>
      <c r="V64" s="12"/>
    </row>
    <row r="65" spans="1:27" x14ac:dyDescent="0.45">
      <c r="A65" s="12"/>
      <c r="B65" s="98" t="s">
        <v>85</v>
      </c>
      <c r="C65" s="99"/>
      <c r="D65" s="99"/>
      <c r="E65" s="99"/>
      <c r="F65" s="99"/>
      <c r="G65" s="99"/>
      <c r="H65" s="99"/>
      <c r="I65" s="99"/>
      <c r="J65" s="99"/>
      <c r="K65" s="99"/>
      <c r="L65" s="100"/>
      <c r="M65" s="33"/>
      <c r="N65" s="13"/>
      <c r="O65" s="12"/>
      <c r="P65" s="12"/>
      <c r="Q65" s="12"/>
      <c r="R65" s="12"/>
      <c r="S65" s="12"/>
      <c r="T65" s="12"/>
      <c r="U65" s="12"/>
      <c r="V65" s="12"/>
    </row>
    <row r="66" spans="1:27" x14ac:dyDescent="0.45">
      <c r="A66" s="12"/>
      <c r="B66" s="12"/>
      <c r="C66" s="15"/>
      <c r="D66" s="12"/>
      <c r="E66" s="12"/>
      <c r="F66" s="12"/>
      <c r="G66" s="12"/>
      <c r="H66" s="12"/>
      <c r="I66" s="12"/>
      <c r="J66" s="12"/>
      <c r="K66" s="12"/>
      <c r="L66" s="12"/>
      <c r="N66" s="12"/>
      <c r="O66" s="12"/>
      <c r="P66" s="12"/>
      <c r="Q66" s="12"/>
      <c r="R66" s="12"/>
      <c r="S66" s="12"/>
      <c r="T66" s="12"/>
      <c r="U66" s="12"/>
      <c r="V66" s="12"/>
    </row>
    <row r="67" spans="1:27" x14ac:dyDescent="0.45">
      <c r="A67" s="12"/>
      <c r="B67" s="12"/>
      <c r="C67" s="15"/>
      <c r="D67" s="12"/>
      <c r="E67" s="12"/>
      <c r="F67" s="12"/>
      <c r="G67" s="12"/>
      <c r="H67" s="12"/>
      <c r="I67" s="12"/>
      <c r="J67" s="12"/>
      <c r="K67" s="12"/>
      <c r="L67" s="12"/>
      <c r="N67" s="12"/>
      <c r="O67" s="12"/>
      <c r="P67" s="12"/>
      <c r="Q67" s="12"/>
      <c r="R67" s="12"/>
      <c r="S67" s="12"/>
      <c r="T67" s="12"/>
      <c r="U67" s="12"/>
      <c r="V67" s="12"/>
    </row>
    <row r="68" spans="1:27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7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7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7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7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7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7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N74" s="12"/>
      <c r="O74" s="12"/>
      <c r="P74" s="12"/>
      <c r="Q74" s="12"/>
      <c r="R74" s="12"/>
      <c r="S74" s="12"/>
      <c r="T74" s="12"/>
      <c r="U74" s="12"/>
      <c r="V74" s="12"/>
    </row>
    <row r="75" spans="1:27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N75" s="12"/>
      <c r="O75" s="12"/>
      <c r="P75" s="12"/>
      <c r="Q75" s="12"/>
      <c r="R75" s="12"/>
      <c r="S75" s="12"/>
      <c r="T75" s="12"/>
      <c r="U75" s="12"/>
      <c r="V75" s="12"/>
    </row>
    <row r="76" spans="1:27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8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8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8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8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8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8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8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</sheetData>
  <mergeCells count="50">
    <mergeCell ref="G2:L6"/>
    <mergeCell ref="B2:F6"/>
    <mergeCell ref="B14:L14"/>
    <mergeCell ref="G13:L13"/>
    <mergeCell ref="B33:L33"/>
    <mergeCell ref="B32:L32"/>
    <mergeCell ref="B7:F7"/>
    <mergeCell ref="B64:L64"/>
    <mergeCell ref="B65:L65"/>
    <mergeCell ref="B10:F10"/>
    <mergeCell ref="B9:F9"/>
    <mergeCell ref="B8:F8"/>
    <mergeCell ref="B11:F11"/>
    <mergeCell ref="B12:F12"/>
    <mergeCell ref="G8:K8"/>
    <mergeCell ref="G9:K9"/>
    <mergeCell ref="G10:K10"/>
    <mergeCell ref="G11:K11"/>
    <mergeCell ref="G12:K12"/>
    <mergeCell ref="B40:L40"/>
    <mergeCell ref="B49:L49"/>
    <mergeCell ref="B59:L59"/>
    <mergeCell ref="B60:L60"/>
    <mergeCell ref="B63:L63"/>
    <mergeCell ref="B54:L54"/>
    <mergeCell ref="B55:L55"/>
    <mergeCell ref="B56:L56"/>
    <mergeCell ref="B57:L57"/>
    <mergeCell ref="B58:L58"/>
    <mergeCell ref="B51:L51"/>
    <mergeCell ref="B52:L52"/>
    <mergeCell ref="B53:L53"/>
    <mergeCell ref="B61:L61"/>
    <mergeCell ref="B62:L62"/>
    <mergeCell ref="N7:O7"/>
    <mergeCell ref="B50:L50"/>
    <mergeCell ref="B34:L34"/>
    <mergeCell ref="B35:L35"/>
    <mergeCell ref="B36:L36"/>
    <mergeCell ref="B37:L37"/>
    <mergeCell ref="B38:L38"/>
    <mergeCell ref="B39:L39"/>
    <mergeCell ref="B41:L41"/>
    <mergeCell ref="B42:L42"/>
    <mergeCell ref="B43:L43"/>
    <mergeCell ref="B44:L44"/>
    <mergeCell ref="B45:L45"/>
    <mergeCell ref="B46:L46"/>
    <mergeCell ref="B47:L47"/>
    <mergeCell ref="B48:L48"/>
  </mergeCells>
  <pageMargins left="0.7" right="0.7" top="0.75" bottom="0.75" header="0.3" footer="0.3"/>
  <pageSetup scale="31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662D44A6443C419D40112B2555FBAB" ma:contentTypeVersion="11" ma:contentTypeDescription="Create a new document." ma:contentTypeScope="" ma:versionID="04651c126fb961e17225cc8d895abd41">
  <xsd:schema xmlns:xsd="http://www.w3.org/2001/XMLSchema" xmlns:xs="http://www.w3.org/2001/XMLSchema" xmlns:p="http://schemas.microsoft.com/office/2006/metadata/properties" xmlns:ns2="270a52b9-840b-4408-9342-83d2fcbe797e" xmlns:ns3="3997ccbc-289b-4270-ae04-5292931ac304" targetNamespace="http://schemas.microsoft.com/office/2006/metadata/properties" ma:root="true" ma:fieldsID="ff37a093a4bf3177af94ee51e67e635a" ns2:_="" ns3:_="">
    <xsd:import namespace="270a52b9-840b-4408-9342-83d2fcbe797e"/>
    <xsd:import namespace="3997ccbc-289b-4270-ae04-5292931ac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0a52b9-840b-4408-9342-83d2fcbe7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8a51d3a-a750-4965-a966-12d54834ae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7ccbc-289b-4270-ae04-5292931ac3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0890fff-0920-4fe3-af70-c15e49fb5475}" ma:internalName="TaxCatchAll" ma:showField="CatchAllData" ma:web="3997ccbc-289b-4270-ae04-5292931ac3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97ccbc-289b-4270-ae04-5292931ac304" xsi:nil="true"/>
    <lcf76f155ced4ddcb4097134ff3c332f xmlns="270a52b9-840b-4408-9342-83d2fcbe79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A2D586-820B-45B2-BF46-A6739128D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0a52b9-840b-4408-9342-83d2fcbe797e"/>
    <ds:schemaRef ds:uri="3997ccbc-289b-4270-ae04-5292931ac3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8F049E-5AC3-431B-AF48-EE5B090F87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C24A88-4158-4965-8087-73A707E911C7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3997ccbc-289b-4270-ae04-5292931ac304"/>
    <ds:schemaRef ds:uri="http://schemas.openxmlformats.org/package/2006/metadata/core-properties"/>
    <ds:schemaRef ds:uri="270a52b9-840b-4408-9342-83d2fcbe797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 Protect Backup Cloud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Samir Jhaveri</dc:creator>
  <cp:keywords/>
  <dc:description/>
  <cp:lastModifiedBy>Tarushi Chaudhary</cp:lastModifiedBy>
  <cp:revision/>
  <dcterms:created xsi:type="dcterms:W3CDTF">2015-02-04T09:50:33Z</dcterms:created>
  <dcterms:modified xsi:type="dcterms:W3CDTF">2026-02-22T17:03:29Z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0x0101009D662D44A6443C419D40112B2555FBAB</vt:lpwstr>
  </property>
  <property fmtid="{D5CDD505-2E9C-101B-9397-08002B2CF9AE}" pid="3" name="MediaServiceImageTags">
    <vt:lpwstr/>
  </property>
</Properties>
</file>