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Tarushi Chaudhary\Downloads\"/>
    </mc:Choice>
  </mc:AlternateContent>
  <xr:revisionPtr revIDLastSave="0" documentId="8_{61CD88C1-9AC0-428B-82E7-933A04B3D4C1}" xr6:coauthVersionLast="47" xr6:coauthVersionMax="47" xr10:uidLastSave="{00000000-0000-0000-0000-000000000000}"/>
  <bookViews>
    <workbookView xWindow="-98" yWindow="-98" windowWidth="21795" windowHeight="12975" xr2:uid="{00000000-000D-0000-FFFF-FFFF00000000}"/>
  </bookViews>
  <sheets>
    <sheet name="Acronis Cyber Protect Cloud"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4" l="1"/>
  <c r="H44" i="4" l="1"/>
  <c r="F26" i="4"/>
  <c r="H26" i="4" s="1"/>
  <c r="I26" i="4" s="1"/>
  <c r="F25" i="4"/>
  <c r="H25" i="4" s="1"/>
  <c r="I25" i="4" s="1"/>
  <c r="F24" i="4"/>
  <c r="H24" i="4" s="1"/>
  <c r="I24" i="4" s="1"/>
  <c r="F23" i="4"/>
  <c r="H23" i="4" s="1"/>
  <c r="I23" i="4" s="1"/>
  <c r="F22" i="4"/>
  <c r="H22" i="4" s="1"/>
  <c r="I22" i="4" s="1"/>
  <c r="F38" i="4" l="1"/>
  <c r="H38" i="4" s="1"/>
  <c r="I38" i="4" l="1"/>
  <c r="F35" i="4"/>
  <c r="H35" i="4" s="1"/>
  <c r="I35" i="4" s="1"/>
  <c r="F33" i="4" l="1"/>
  <c r="H33" i="4" l="1"/>
  <c r="G33" i="4"/>
  <c r="F29" i="4"/>
  <c r="H29" i="4" s="1"/>
  <c r="H31" i="4"/>
  <c r="I33" i="4" l="1"/>
  <c r="I29" i="4"/>
  <c r="I31" i="4"/>
  <c r="F19" i="4"/>
  <c r="H19" i="4" s="1"/>
  <c r="F18" i="4"/>
  <c r="H18" i="4" s="1"/>
  <c r="I19" i="4" l="1"/>
  <c r="I18" i="4"/>
  <c r="C14" i="4" l="1"/>
  <c r="I44" i="4" l="1"/>
  <c r="F17" i="4"/>
  <c r="H17" i="4" l="1"/>
  <c r="I17" i="4" l="1"/>
  <c r="H41" i="4"/>
  <c r="H43" i="4" s="1"/>
  <c r="I41" i="4" l="1"/>
  <c r="I43" i="4" s="1"/>
</calcChain>
</file>

<file path=xl/sharedStrings.xml><?xml version="1.0" encoding="utf-8"?>
<sst xmlns="http://schemas.openxmlformats.org/spreadsheetml/2006/main" count="94" uniqueCount="81">
  <si>
    <t xml:space="preserve">XcellHost Cloud Services Pvt. Ltd. </t>
  </si>
  <si>
    <t>Currency Calculator</t>
  </si>
  <si>
    <t>Base Currency Unit</t>
  </si>
  <si>
    <t>USD</t>
  </si>
  <si>
    <t>209, Laxmi Plaza, Bldg. No. 9,Laxmi Industrial Estate, Andheri (W), Mumbai - 400053 </t>
  </si>
  <si>
    <t>Quote Currency  Unit</t>
  </si>
  <si>
    <t>INR</t>
  </si>
  <si>
    <t>Website :  http://www.xcellhost.cloud   Email : sales@xcellhost.cloud</t>
  </si>
  <si>
    <t>Currency Exchange Rate</t>
  </si>
  <si>
    <t>Tel:  +91-22-67111555</t>
  </si>
  <si>
    <t>Partner Margin %</t>
  </si>
  <si>
    <t>End Customer Details</t>
  </si>
  <si>
    <t>Partner Details</t>
  </si>
  <si>
    <t>XcellHost Sales Team</t>
  </si>
  <si>
    <t xml:space="preserve">Company Name : </t>
  </si>
  <si>
    <t xml:space="preserve">Partner Company Name :  </t>
  </si>
  <si>
    <t xml:space="preserve">Sales Rep :  Mr. </t>
  </si>
  <si>
    <t>Contact Person : Mr</t>
  </si>
  <si>
    <t xml:space="preserve">Partner Contact Person  :  Mr </t>
  </si>
  <si>
    <t xml:space="preserve">Pre-Sales :   Mr. </t>
  </si>
  <si>
    <t>Phone No :  +91</t>
  </si>
  <si>
    <t>Partner Phone No : +91</t>
  </si>
  <si>
    <t xml:space="preserve">Quote Date :  </t>
  </si>
  <si>
    <t xml:space="preserve">Email : </t>
  </si>
  <si>
    <t>Quotation No : XLIN/CP/ACPC/2023</t>
  </si>
  <si>
    <t xml:space="preserve">Website :  </t>
  </si>
  <si>
    <t xml:space="preserve">Website : </t>
  </si>
  <si>
    <t>Quote Version :  5.0</t>
  </si>
  <si>
    <t>XcellSecure| Cloud Endpoint Security Services - Powered by Acronis Cyber Protect Cloud</t>
  </si>
  <si>
    <t>Quote Currency</t>
  </si>
  <si>
    <t>Item Description</t>
  </si>
  <si>
    <t>Unit</t>
  </si>
  <si>
    <t>Qty</t>
  </si>
  <si>
    <t>$</t>
  </si>
  <si>
    <t xml:space="preserve">Customer Monthly Rate </t>
  </si>
  <si>
    <t>Customer
Annual Rate</t>
  </si>
  <si>
    <t xml:space="preserve">Customer Monthly
 Amount </t>
  </si>
  <si>
    <t xml:space="preserve">Partner Monthly Amount </t>
  </si>
  <si>
    <t>Comments</t>
  </si>
  <si>
    <t xml:space="preserve">Standard  Backup </t>
  </si>
  <si>
    <t xml:space="preserve">Workstations, Servers (Windows, Linux, Mac) backup  Virtual machine backup,  File backup,  Image backup,  Immutable backups,  Standard applications backup (Microsoft 365, Google Workspace, Microsoft Exchange, Microsoft SQL), Network Shares backup,  Backup to local storage,   </t>
  </si>
  <si>
    <t>Acronis Cyber Protect Cloud  | Standard Backup - Workstation</t>
  </si>
  <si>
    <t>per workload</t>
  </si>
  <si>
    <t>Acronis Cyber Protect Cloud  | Standard Backup  - VM</t>
  </si>
  <si>
    <t>Acronis Cyber Protect Cloud  | Standard Backup -  Server</t>
  </si>
  <si>
    <t xml:space="preserve">Advanced Backup </t>
  </si>
  <si>
    <t xml:space="preserve">Microsoft SQL Server and Microsoft Exchange clusters,  Oracle DB,  SAP HANA, MySQL / MariaDB, Continuous data protection , Off-host data processing, Data protection map, </t>
  </si>
  <si>
    <t>Acronis Cyber Protect Cloud  | Advanced Backup - Workstation</t>
  </si>
  <si>
    <t>Acronis Cyber Protect Cloud  | Advanced Backup - VM</t>
  </si>
  <si>
    <t>Acronis Cyber Protect Cloud  | Advanced Backup - Server</t>
  </si>
  <si>
    <t xml:space="preserve">Acronis Cyber Protect Cloud |  Microsoft 365 Seat </t>
  </si>
  <si>
    <t>with unlimited Acronis Hosted Cloud storage</t>
  </si>
  <si>
    <t>Acronis Cyber Protect Cloud | Google Workspace Seat</t>
  </si>
  <si>
    <t>Advanced Security</t>
  </si>
  <si>
    <t xml:space="preserve">Acronis Cyber Protect Cloud  | Advanced Security + EDR </t>
  </si>
  <si>
    <t>per user</t>
  </si>
  <si>
    <t>Anti-Virus &amp; Anti Malware Protection: Local signature-based file detection. URL Filtering, Forensic Backup Centralized backup scanning for malware, Safe recovery, Corporate whitelist, Smart protection plans (integration with CPOC alerts), Endpoint firewall management. #CyberFit Score with Compliance Scorecard &amp; Advanced configuration assessment plus Device Control plus  Endpoint Detection and Response (events collection, automated response, security incident management)</t>
  </si>
  <si>
    <t xml:space="preserve">Advanced Management </t>
  </si>
  <si>
    <t>Acronis Cyber Protect Cloud  | Remote Monitoring and Management (RMM)</t>
  </si>
  <si>
    <t>Vulnerability Assessment with integrated Patch Management Fail-safe patching + Asset management with Software Inventory Drive health monitoring +  #CyberFit Score Remote desktop connection to Windows, Macos &amp; Linux workloads  File transfer + Monitoring based on machine intelligence , Patch management, HDD health, Software inventory, Fail-safe Patching, Cyber Scripting, AI-based monitoring*, Software deployment*.</t>
  </si>
  <si>
    <t>Advanced Email Security</t>
  </si>
  <si>
    <t xml:space="preserve">Acronis Cyber Protect Cloud  | Advanced Email Security  (AES) </t>
  </si>
  <si>
    <t>Advanced Email Security enables real-time protection for your Microsoft 365 &amp; Gmail mailboxes: 
Anti-Malware + Anti-Spam + URL scan in emails + Anti-Phishing  DMARC analysis  + BEC  + ATO + Impersonation protection Attachments Scan + Content disarm &amp; reconstruction + Graph of Trust Anti-phishing, anti-spam protection, anti-malware, APT and zero-day protection, impression (BEC) protection, account takeover (ATO) detection, attachments deep scanning, URL filtering, threat intelligence, incident response services</t>
  </si>
  <si>
    <t>Advanced DLP</t>
  </si>
  <si>
    <t>Acronis Cyber Protect Cloud  | Advanced Data Loss Prevention (DLP)</t>
  </si>
  <si>
    <t># Advanced Data Loss Prevention Workloads (Servers, VMs, Workstations, Hosting Servers)</t>
  </si>
  <si>
    <t>Cloud Backup Storage</t>
  </si>
  <si>
    <t>Acronis Cyber Protect Cloud Backup Storage Subscription (addon)</t>
  </si>
  <si>
    <t>per TB</t>
  </si>
  <si>
    <t>Total Monthly Charges</t>
  </si>
  <si>
    <t>Enter Billing Frequency</t>
  </si>
  <si>
    <t>Total Recurring Charges</t>
  </si>
  <si>
    <t>One Time Setup Charges</t>
  </si>
  <si>
    <t>plus applicable taxes</t>
  </si>
  <si>
    <t>Contract Terms &amp; Conditions</t>
  </si>
  <si>
    <t>a. Advance Payment with One Time Setup Charges.</t>
  </si>
  <si>
    <t>b. Annual Contract.  30 days Termination Notice required.</t>
  </si>
  <si>
    <t>c. Delivery :  Within 3-4 working days from PO + Advance Payment Receipt</t>
  </si>
  <si>
    <t>d. Billing Details : Order to be Favour of  XcellHost Cloud Services Pvt Ltd</t>
  </si>
  <si>
    <t>e.  Quote Validity : 1 week</t>
  </si>
  <si>
    <t>f.  Overage Billing will be billed as actuals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</si>
</sst>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28" x14ac:knownFonts="1">
    <font>
      <sz val="11"/>
      <color theme="1"/>
      <name val="Calibri"/>
      <family val="2"/>
      <scheme val="minor"/>
    </font>
    <font>
      <sz val="10"/>
      <name val="Arial"/>
      <family val="2"/>
    </font>
    <font>
      <sz val="11"/>
      <color theme="1"/>
      <name val="Calibri"/>
      <family val="2"/>
      <scheme val="minor"/>
    </font>
    <font>
      <b/>
      <sz val="22"/>
      <color rgb="FFC00000"/>
      <name val="Calibri"/>
      <family val="2"/>
      <scheme val="minor"/>
    </font>
    <font>
      <b/>
      <sz val="18"/>
      <color theme="0" tint="-0.34998626667073579"/>
      <name val="Calibri"/>
      <family val="2"/>
      <scheme val="minor"/>
    </font>
    <font>
      <sz val="9"/>
      <color theme="1"/>
      <name val="Calibri"/>
      <family val="2"/>
      <scheme val="minor"/>
    </font>
    <font>
      <b/>
      <sz val="14"/>
      <color theme="1"/>
      <name val="Calibri"/>
      <family val="2"/>
      <scheme val="minor"/>
    </font>
    <font>
      <b/>
      <sz val="12"/>
      <color theme="1"/>
      <name val="Calibri"/>
      <family val="2"/>
      <scheme val="minor"/>
    </font>
    <font>
      <sz val="9"/>
      <name val="Calibri"/>
      <family val="2"/>
      <scheme val="minor"/>
    </font>
    <font>
      <b/>
      <u/>
      <sz val="9"/>
      <name val="Calibri"/>
      <family val="2"/>
      <scheme val="minor"/>
    </font>
    <font>
      <b/>
      <sz val="9"/>
      <color rgb="FFC00000"/>
      <name val="Calibri"/>
      <family val="2"/>
      <scheme val="minor"/>
    </font>
    <font>
      <b/>
      <sz val="14"/>
      <color theme="8"/>
      <name val="Calibri"/>
      <family val="2"/>
      <scheme val="minor"/>
    </font>
    <font>
      <b/>
      <sz val="9"/>
      <color theme="1"/>
      <name val="Calibri"/>
      <family val="2"/>
      <scheme val="minor"/>
    </font>
    <font>
      <u/>
      <sz val="11"/>
      <color theme="10"/>
      <name val="Calibri"/>
      <family val="2"/>
      <scheme val="minor"/>
    </font>
    <font>
      <sz val="10"/>
      <color theme="1"/>
      <name val="Calibri"/>
      <family val="2"/>
      <scheme val="minor"/>
    </font>
    <font>
      <b/>
      <sz val="11"/>
      <color theme="1"/>
      <name val="Calibri"/>
      <family val="2"/>
      <scheme val="minor"/>
    </font>
    <font>
      <sz val="9"/>
      <color rgb="FFFF0000"/>
      <name val="Calibri"/>
      <family val="2"/>
      <scheme val="minor"/>
    </font>
    <font>
      <b/>
      <sz val="12"/>
      <name val="Calibri"/>
      <family val="2"/>
      <scheme val="minor"/>
    </font>
    <font>
      <sz val="12"/>
      <name val="Calibri"/>
      <family val="2"/>
      <scheme val="minor"/>
    </font>
    <font>
      <b/>
      <sz val="12"/>
      <color rgb="FFC00000"/>
      <name val="Calibri"/>
      <family val="2"/>
      <scheme val="minor"/>
    </font>
    <font>
      <b/>
      <sz val="12"/>
      <color rgb="FF0070C0"/>
      <name val="Calibri"/>
      <family val="2"/>
      <scheme val="minor"/>
    </font>
    <font>
      <b/>
      <sz val="11"/>
      <color rgb="FFC00000"/>
      <name val="Calibri"/>
      <family val="2"/>
      <scheme val="minor"/>
    </font>
    <font>
      <b/>
      <sz val="11"/>
      <name val="Calibri"/>
      <family val="2"/>
      <scheme val="minor"/>
    </font>
    <font>
      <u/>
      <sz val="10"/>
      <color theme="10"/>
      <name val="Calibri"/>
      <family val="2"/>
      <scheme val="minor"/>
    </font>
    <font>
      <b/>
      <sz val="12"/>
      <color theme="8"/>
      <name val="Calibri"/>
      <family val="2"/>
      <scheme val="minor"/>
    </font>
    <font>
      <sz val="8.5"/>
      <color rgb="FF00204D"/>
      <name val="Arial"/>
      <family val="2"/>
    </font>
    <font>
      <sz val="7"/>
      <color rgb="FF00204D"/>
      <name val="Arial"/>
      <family val="2"/>
    </font>
    <font>
      <sz val="12"/>
      <color rgb="FFC00000"/>
      <name val="Calibri"/>
      <family val="2"/>
      <scheme val="minor"/>
    </font>
  </fonts>
  <fills count="3">
    <fill>
      <patternFill patternType="none"/>
    </fill>
    <fill>
      <patternFill patternType="gray125"/>
    </fill>
    <fill>
      <patternFill patternType="solid">
        <fgColor theme="4" tint="0.39997558519241921"/>
        <bgColor indexed="64"/>
      </patternFill>
    </fill>
  </fills>
  <borders count="41">
    <border>
      <left/>
      <right/>
      <top/>
      <bottom/>
      <diagonal/>
    </border>
    <border>
      <left/>
      <right/>
      <top/>
      <bottom style="medium">
        <color indexed="64"/>
      </bottom>
      <diagonal/>
    </border>
    <border>
      <left/>
      <right/>
      <top style="medium">
        <color indexed="64"/>
      </top>
      <bottom style="medium">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diagonal/>
    </border>
    <border>
      <left/>
      <right style="thin">
        <color indexed="64"/>
      </right>
      <top style="thin">
        <color auto="1"/>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auto="1"/>
      </right>
      <top/>
      <bottom style="thin">
        <color auto="1"/>
      </bottom>
      <diagonal/>
    </border>
  </borders>
  <cellStyleXfs count="5">
    <xf numFmtId="0" fontId="0" fillId="0" borderId="0"/>
    <xf numFmtId="0" fontId="1" fillId="0" borderId="0"/>
    <xf numFmtId="164" fontId="2" fillId="0" borderId="0" applyFont="0" applyFill="0" applyBorder="0" applyAlignment="0" applyProtection="0"/>
    <xf numFmtId="0" fontId="1" fillId="0" borderId="0"/>
    <xf numFmtId="0" fontId="13" fillId="0" borderId="0" applyNumberFormat="0" applyFill="0" applyBorder="0" applyAlignment="0" applyProtection="0"/>
  </cellStyleXfs>
  <cellXfs count="118">
    <xf numFmtId="0" fontId="0" fillId="0" borderId="0" xfId="0"/>
    <xf numFmtId="0" fontId="0" fillId="0" borderId="0" xfId="0" applyAlignment="1">
      <alignment horizontal="center" vertical="center"/>
    </xf>
    <xf numFmtId="164" fontId="8" fillId="0" borderId="14" xfId="2" applyFont="1" applyBorder="1" applyAlignment="1">
      <alignment horizontal="center" vertical="center"/>
    </xf>
    <xf numFmtId="0" fontId="5" fillId="0" borderId="18" xfId="0" applyFont="1" applyBorder="1" applyAlignment="1">
      <alignment vertical="center"/>
    </xf>
    <xf numFmtId="0" fontId="8" fillId="0" borderId="14" xfId="2" applyNumberFormat="1" applyFont="1" applyBorder="1" applyAlignment="1">
      <alignment horizontal="center" vertical="center"/>
    </xf>
    <xf numFmtId="0" fontId="16" fillId="0" borderId="19" xfId="0" applyFont="1" applyBorder="1" applyAlignment="1">
      <alignment vertical="center"/>
    </xf>
    <xf numFmtId="0" fontId="16" fillId="0" borderId="15" xfId="2" applyNumberFormat="1" applyFont="1" applyBorder="1" applyAlignment="1">
      <alignment horizontal="center" vertical="center"/>
    </xf>
    <xf numFmtId="0" fontId="6" fillId="0" borderId="22" xfId="0" applyFont="1" applyBorder="1" applyAlignment="1">
      <alignment horizontal="center" vertical="center"/>
    </xf>
    <xf numFmtId="0" fontId="14" fillId="0" borderId="23" xfId="0" applyFont="1" applyBorder="1" applyAlignment="1">
      <alignment vertical="center"/>
    </xf>
    <xf numFmtId="0" fontId="14" fillId="0" borderId="24" xfId="0" applyFont="1" applyBorder="1" applyAlignment="1">
      <alignment vertical="center"/>
    </xf>
    <xf numFmtId="0" fontId="14" fillId="0" borderId="25" xfId="0" applyFont="1" applyBorder="1" applyAlignment="1">
      <alignment vertical="center"/>
    </xf>
    <xf numFmtId="0" fontId="18" fillId="0" borderId="0" xfId="1" applyFont="1" applyAlignment="1">
      <alignment horizontal="center"/>
    </xf>
    <xf numFmtId="0" fontId="15" fillId="0" borderId="0" xfId="0" applyFont="1" applyAlignment="1">
      <alignment horizontal="center"/>
    </xf>
    <xf numFmtId="0" fontId="10" fillId="0" borderId="0" xfId="1" applyFont="1"/>
    <xf numFmtId="0" fontId="19" fillId="0" borderId="3" xfId="1" applyFont="1" applyBorder="1" applyAlignment="1">
      <alignment horizontal="center" vertical="center"/>
    </xf>
    <xf numFmtId="0" fontId="19" fillId="0" borderId="3" xfId="1" applyFont="1" applyBorder="1" applyAlignment="1">
      <alignment vertical="center"/>
    </xf>
    <xf numFmtId="0" fontId="3" fillId="0" borderId="5" xfId="0" applyFont="1" applyBorder="1" applyAlignment="1">
      <alignment horizontal="right" vertical="center"/>
    </xf>
    <xf numFmtId="0" fontId="3" fillId="0" borderId="0" xfId="0" applyFont="1" applyAlignment="1">
      <alignment horizontal="right" vertical="center"/>
    </xf>
    <xf numFmtId="0" fontId="5" fillId="0" borderId="0" xfId="0" applyFont="1" applyAlignment="1">
      <alignment horizontal="right" vertical="center"/>
    </xf>
    <xf numFmtId="2" fontId="19" fillId="0" borderId="3" xfId="1" applyNumberFormat="1" applyFont="1" applyBorder="1" applyAlignment="1">
      <alignment vertical="center"/>
    </xf>
    <xf numFmtId="2" fontId="18" fillId="0" borderId="3" xfId="1" applyNumberFormat="1" applyFont="1" applyBorder="1" applyAlignment="1">
      <alignment horizontal="center" vertical="center" wrapText="1"/>
    </xf>
    <xf numFmtId="1" fontId="19" fillId="0" borderId="3" xfId="1" applyNumberFormat="1" applyFont="1" applyBorder="1" applyAlignment="1">
      <alignment horizontal="center" vertical="center"/>
    </xf>
    <xf numFmtId="1" fontId="18" fillId="0" borderId="0" xfId="1" applyNumberFormat="1" applyFont="1" applyAlignment="1">
      <alignment horizontal="center" vertical="center" wrapText="1"/>
    </xf>
    <xf numFmtId="1" fontId="18" fillId="0" borderId="0" xfId="1" applyNumberFormat="1" applyFont="1" applyAlignment="1">
      <alignment horizontal="center" wrapText="1"/>
    </xf>
    <xf numFmtId="1" fontId="20" fillId="0" borderId="0" xfId="1" applyNumberFormat="1" applyFont="1" applyAlignment="1">
      <alignment horizontal="center" vertical="center"/>
    </xf>
    <xf numFmtId="1" fontId="19" fillId="0" borderId="31" xfId="1" applyNumberFormat="1" applyFont="1" applyBorder="1" applyAlignment="1">
      <alignment horizontal="center" vertical="center"/>
    </xf>
    <xf numFmtId="1" fontId="18" fillId="0" borderId="3" xfId="1" applyNumberFormat="1" applyFont="1" applyBorder="1" applyAlignment="1">
      <alignment horizontal="center" vertical="center" wrapText="1"/>
    </xf>
    <xf numFmtId="165" fontId="18" fillId="0" borderId="0" xfId="1" applyNumberFormat="1" applyFont="1" applyAlignment="1">
      <alignment horizontal="center"/>
    </xf>
    <xf numFmtId="2" fontId="18" fillId="0" borderId="0" xfId="1" applyNumberFormat="1" applyFont="1" applyAlignment="1">
      <alignment horizontal="center"/>
    </xf>
    <xf numFmtId="0" fontId="18" fillId="0" borderId="0" xfId="1" applyFont="1" applyAlignment="1">
      <alignment horizontal="center" vertical="center" wrapText="1"/>
    </xf>
    <xf numFmtId="2" fontId="7" fillId="0" borderId="36" xfId="0" applyNumberFormat="1" applyFont="1" applyBorder="1"/>
    <xf numFmtId="2" fontId="19" fillId="0" borderId="18" xfId="1" applyNumberFormat="1" applyFont="1" applyBorder="1" applyAlignment="1">
      <alignment vertical="center"/>
    </xf>
    <xf numFmtId="1" fontId="24" fillId="0" borderId="3" xfId="1" applyNumberFormat="1" applyFont="1" applyBorder="1" applyAlignment="1">
      <alignment horizontal="center" vertical="center"/>
    </xf>
    <xf numFmtId="0" fontId="19" fillId="0" borderId="3" xfId="1" applyFont="1" applyBorder="1" applyAlignment="1">
      <alignment horizontal="left" vertical="center"/>
    </xf>
    <xf numFmtId="0" fontId="18" fillId="0" borderId="0" xfId="1" applyFont="1" applyAlignment="1">
      <alignment horizontal="center" vertical="center"/>
    </xf>
    <xf numFmtId="0" fontId="15" fillId="0" borderId="0" xfId="0" applyFont="1" applyAlignment="1">
      <alignment horizontal="center" vertical="center"/>
    </xf>
    <xf numFmtId="2" fontId="18" fillId="0" borderId="0" xfId="1" applyNumberFormat="1" applyFont="1" applyAlignment="1">
      <alignment horizontal="center" vertical="center"/>
    </xf>
    <xf numFmtId="1" fontId="18" fillId="0" borderId="0" xfId="1" applyNumberFormat="1" applyFont="1" applyAlignment="1">
      <alignment horizontal="center" vertical="center"/>
    </xf>
    <xf numFmtId="2" fontId="15" fillId="0" borderId="0" xfId="0" applyNumberFormat="1" applyFont="1"/>
    <xf numFmtId="0" fontId="25" fillId="0" borderId="0" xfId="0" applyFont="1" applyAlignment="1">
      <alignment horizontal="left" vertical="center" readingOrder="1"/>
    </xf>
    <xf numFmtId="0" fontId="26" fillId="0" borderId="0" xfId="0" applyFont="1" applyAlignment="1">
      <alignment horizontal="left" vertical="center" readingOrder="1"/>
    </xf>
    <xf numFmtId="0" fontId="21" fillId="0" borderId="3" xfId="0" applyFont="1" applyBorder="1" applyAlignment="1">
      <alignment horizontal="left"/>
    </xf>
    <xf numFmtId="165" fontId="27" fillId="0" borderId="3" xfId="1" applyNumberFormat="1" applyFont="1" applyBorder="1" applyAlignment="1">
      <alignment horizontal="left"/>
    </xf>
    <xf numFmtId="1" fontId="27" fillId="0" borderId="3" xfId="1" applyNumberFormat="1" applyFont="1" applyBorder="1" applyAlignment="1">
      <alignment horizontal="left" vertical="center" wrapText="1"/>
    </xf>
    <xf numFmtId="1" fontId="27" fillId="0" borderId="3" xfId="1" applyNumberFormat="1" applyFont="1" applyBorder="1" applyAlignment="1">
      <alignment horizontal="left" wrapText="1"/>
    </xf>
    <xf numFmtId="1" fontId="19" fillId="0" borderId="3" xfId="1" applyNumberFormat="1" applyFont="1" applyBorder="1" applyAlignment="1">
      <alignment horizontal="left" vertical="center"/>
    </xf>
    <xf numFmtId="0" fontId="21" fillId="0" borderId="3" xfId="0" applyFont="1" applyBorder="1" applyAlignment="1">
      <alignment horizontal="left" vertical="center" wrapText="1"/>
    </xf>
    <xf numFmtId="0" fontId="27" fillId="0" borderId="3" xfId="1" applyFont="1" applyBorder="1" applyAlignment="1">
      <alignment horizontal="center"/>
    </xf>
    <xf numFmtId="0" fontId="21" fillId="0" borderId="3" xfId="0" applyFont="1" applyBorder="1" applyAlignment="1">
      <alignment horizontal="center"/>
    </xf>
    <xf numFmtId="165" fontId="27" fillId="0" borderId="3" xfId="1" applyNumberFormat="1" applyFont="1" applyBorder="1" applyAlignment="1">
      <alignment horizontal="center"/>
    </xf>
    <xf numFmtId="1" fontId="27" fillId="0" borderId="3" xfId="1" applyNumberFormat="1" applyFont="1" applyBorder="1" applyAlignment="1">
      <alignment horizontal="center" vertical="center" wrapText="1"/>
    </xf>
    <xf numFmtId="1" fontId="27" fillId="0" borderId="3" xfId="1" applyNumberFormat="1" applyFont="1" applyBorder="1" applyAlignment="1">
      <alignment horizontal="center" wrapText="1"/>
    </xf>
    <xf numFmtId="2" fontId="19" fillId="0" borderId="36" xfId="0" applyNumberFormat="1" applyFont="1" applyBorder="1" applyAlignment="1">
      <alignment horizontal="left" vertical="center" wrapText="1"/>
    </xf>
    <xf numFmtId="0" fontId="21" fillId="0" borderId="37" xfId="0" applyFont="1" applyBorder="1" applyAlignment="1">
      <alignment vertical="center" wrapText="1"/>
    </xf>
    <xf numFmtId="0" fontId="21" fillId="0" borderId="18" xfId="0" applyFont="1" applyBorder="1" applyAlignment="1">
      <alignment horizontal="left" vertical="center" wrapText="1"/>
    </xf>
    <xf numFmtId="0" fontId="17" fillId="2" borderId="38" xfId="1" applyFont="1" applyFill="1" applyBorder="1" applyAlignment="1">
      <alignment horizontal="center" vertical="center" wrapText="1"/>
    </xf>
    <xf numFmtId="0" fontId="22" fillId="2" borderId="39" xfId="1" applyFont="1" applyFill="1" applyBorder="1" applyAlignment="1">
      <alignment horizontal="center" vertical="center" wrapText="1"/>
    </xf>
    <xf numFmtId="0" fontId="17" fillId="2" borderId="40" xfId="1" applyFont="1" applyFill="1" applyBorder="1" applyAlignment="1">
      <alignment horizontal="center" vertical="center" wrapText="1"/>
    </xf>
    <xf numFmtId="0" fontId="15" fillId="0" borderId="3" xfId="0" applyFont="1" applyBorder="1" applyAlignment="1">
      <alignment vertical="center"/>
    </xf>
    <xf numFmtId="0" fontId="15" fillId="0" borderId="20" xfId="0" applyFont="1" applyBorder="1" applyAlignment="1">
      <alignment horizontal="center" vertical="center"/>
    </xf>
    <xf numFmtId="0" fontId="17" fillId="0" borderId="0" xfId="1" applyFont="1" applyAlignment="1">
      <alignment horizontal="left" vertical="center"/>
    </xf>
    <xf numFmtId="0" fontId="17" fillId="0" borderId="31" xfId="1" applyFont="1" applyBorder="1" applyAlignment="1">
      <alignment horizontal="center" vertical="center"/>
    </xf>
    <xf numFmtId="0" fontId="19" fillId="0" borderId="3" xfId="1" applyFont="1" applyBorder="1" applyAlignment="1">
      <alignment horizontal="left" vertical="center"/>
    </xf>
    <xf numFmtId="0" fontId="14" fillId="0" borderId="20" xfId="0" applyFont="1" applyBorder="1" applyAlignment="1">
      <alignment horizontal="left" vertical="center"/>
    </xf>
    <xf numFmtId="0" fontId="14" fillId="0" borderId="3" xfId="0" applyFont="1" applyBorder="1" applyAlignment="1">
      <alignment horizontal="left" vertical="center"/>
    </xf>
    <xf numFmtId="0" fontId="17" fillId="0" borderId="32" xfId="1" applyFont="1" applyBorder="1" applyAlignment="1">
      <alignment horizontal="center" vertical="center"/>
    </xf>
    <xf numFmtId="0" fontId="14" fillId="0" borderId="13" xfId="0" applyFont="1" applyBorder="1" applyAlignment="1">
      <alignment horizontal="left" vertical="center"/>
    </xf>
    <xf numFmtId="0" fontId="14" fillId="0" borderId="26" xfId="0" applyFont="1" applyBorder="1" applyAlignment="1">
      <alignment horizontal="left" vertical="center"/>
    </xf>
    <xf numFmtId="0" fontId="14" fillId="0" borderId="34" xfId="0" applyFont="1" applyBorder="1" applyAlignment="1">
      <alignment horizontal="left" vertical="center"/>
    </xf>
    <xf numFmtId="0" fontId="14" fillId="0" borderId="29" xfId="0" applyFont="1" applyBorder="1" applyAlignment="1">
      <alignment horizontal="left" vertical="center"/>
    </xf>
    <xf numFmtId="0" fontId="14" fillId="0" borderId="30" xfId="0" applyFont="1" applyBorder="1" applyAlignment="1">
      <alignment horizontal="left" vertical="center"/>
    </xf>
    <xf numFmtId="0" fontId="14" fillId="0" borderId="35" xfId="0" applyFont="1" applyBorder="1" applyAlignment="1">
      <alignment horizontal="left" vertical="center"/>
    </xf>
    <xf numFmtId="0" fontId="17" fillId="2" borderId="38" xfId="1" applyFont="1" applyFill="1" applyBorder="1" applyAlignment="1">
      <alignment horizontal="left" vertical="center"/>
    </xf>
    <xf numFmtId="0" fontId="15" fillId="0" borderId="20" xfId="0" applyFont="1" applyBorder="1" applyAlignment="1">
      <alignment horizontal="left" vertical="center"/>
    </xf>
    <xf numFmtId="0" fontId="15" fillId="0" borderId="3" xfId="0" applyFont="1" applyBorder="1" applyAlignment="1">
      <alignment horizontal="left" vertical="center"/>
    </xf>
    <xf numFmtId="0" fontId="11" fillId="0" borderId="4" xfId="1" applyFont="1" applyBorder="1" applyAlignment="1">
      <alignment horizontal="left" vertical="center"/>
    </xf>
    <xf numFmtId="0" fontId="11" fillId="0" borderId="5" xfId="1" applyFont="1" applyBorder="1" applyAlignment="1">
      <alignment horizontal="left" vertical="center"/>
    </xf>
    <xf numFmtId="0" fontId="11" fillId="0" borderId="8" xfId="1" applyFont="1" applyBorder="1" applyAlignment="1">
      <alignment horizontal="left" vertical="center"/>
    </xf>
    <xf numFmtId="0" fontId="21" fillId="0" borderId="6" xfId="0" applyFont="1" applyBorder="1" applyAlignment="1">
      <alignment horizontal="left" vertical="center"/>
    </xf>
    <xf numFmtId="0" fontId="21" fillId="0" borderId="0" xfId="0" applyFont="1" applyAlignment="1">
      <alignment horizontal="left" vertical="center"/>
    </xf>
    <xf numFmtId="0" fontId="21" fillId="0" borderId="9" xfId="0" applyFont="1" applyBorder="1" applyAlignment="1">
      <alignment horizontal="left" vertical="center"/>
    </xf>
    <xf numFmtId="0" fontId="7" fillId="0" borderId="21" xfId="0" applyFont="1" applyBorder="1" applyAlignment="1">
      <alignment horizontal="center" vertical="center"/>
    </xf>
    <xf numFmtId="0" fontId="7" fillId="0" borderId="17" xfId="0" applyFont="1" applyBorder="1" applyAlignment="1">
      <alignment horizontal="center" vertical="center"/>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3" fillId="0" borderId="0" xfId="0" applyFont="1" applyAlignment="1">
      <alignment horizontal="right" vertical="center"/>
    </xf>
    <xf numFmtId="0" fontId="5" fillId="0" borderId="6" xfId="0" applyFont="1" applyBorder="1" applyAlignment="1">
      <alignment horizontal="right" vertical="center"/>
    </xf>
    <xf numFmtId="0" fontId="5" fillId="0" borderId="0" xfId="0" applyFont="1" applyAlignment="1">
      <alignment horizontal="right" vertical="center"/>
    </xf>
    <xf numFmtId="0" fontId="23" fillId="0" borderId="6" xfId="4" applyFont="1" applyBorder="1" applyAlignment="1">
      <alignment horizontal="right" vertical="center"/>
    </xf>
    <xf numFmtId="0" fontId="14" fillId="0" borderId="0" xfId="0" applyFont="1" applyAlignment="1">
      <alignment horizontal="right" vertical="center"/>
    </xf>
    <xf numFmtId="0" fontId="12" fillId="0" borderId="7" xfId="0" applyFont="1" applyBorder="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12" fillId="0" borderId="10" xfId="0" applyFont="1" applyBorder="1" applyAlignment="1" applyProtection="1">
      <alignment horizontal="left" vertical="center"/>
      <protection locked="0"/>
    </xf>
    <xf numFmtId="0" fontId="9" fillId="2" borderId="7" xfId="0" applyFont="1" applyFill="1" applyBorder="1" applyAlignment="1" applyProtection="1">
      <alignment horizontal="left" vertical="center" wrapText="1"/>
      <protection locked="0"/>
    </xf>
    <xf numFmtId="0" fontId="9" fillId="2" borderId="1" xfId="0" applyFont="1" applyFill="1" applyBorder="1" applyAlignment="1" applyProtection="1">
      <alignment horizontal="left" vertical="center" wrapText="1"/>
      <protection locked="0"/>
    </xf>
    <xf numFmtId="0" fontId="9" fillId="2" borderId="10" xfId="0" applyFont="1" applyFill="1" applyBorder="1" applyAlignment="1" applyProtection="1">
      <alignment horizontal="left" vertical="center" wrapText="1"/>
      <protection locked="0"/>
    </xf>
    <xf numFmtId="0" fontId="12" fillId="0" borderId="4" xfId="0" applyFont="1" applyBorder="1" applyAlignment="1" applyProtection="1">
      <alignment horizontal="left" vertical="center"/>
      <protection locked="0"/>
    </xf>
    <xf numFmtId="0" fontId="12" fillId="0" borderId="5" xfId="0" applyFont="1" applyBorder="1" applyAlignment="1" applyProtection="1">
      <alignment horizontal="left" vertical="center"/>
      <protection locked="0"/>
    </xf>
    <xf numFmtId="0" fontId="12" fillId="0" borderId="8" xfId="0" applyFont="1" applyBorder="1" applyAlignment="1" applyProtection="1">
      <alignment horizontal="left" vertical="center"/>
      <protection locked="0"/>
    </xf>
    <xf numFmtId="0" fontId="12" fillId="0" borderId="6" xfId="0"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9" xfId="0" applyFont="1" applyBorder="1" applyAlignment="1" applyProtection="1">
      <alignment horizontal="left" vertical="center"/>
      <protection locked="0"/>
    </xf>
    <xf numFmtId="0" fontId="19" fillId="0" borderId="31" xfId="1" applyFont="1" applyBorder="1" applyAlignment="1">
      <alignment horizontal="left" vertical="center"/>
    </xf>
    <xf numFmtId="0" fontId="6" fillId="0" borderId="11" xfId="0" applyFont="1" applyBorder="1" applyAlignment="1">
      <alignment horizontal="center" vertical="center"/>
    </xf>
    <xf numFmtId="0" fontId="6" fillId="0" borderId="2" xfId="0" applyFont="1" applyBorder="1" applyAlignment="1">
      <alignment horizontal="center" vertical="center"/>
    </xf>
    <xf numFmtId="0" fontId="6" fillId="0" borderId="12"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4" fillId="0" borderId="27" xfId="0" applyFont="1" applyBorder="1" applyAlignment="1">
      <alignment horizontal="left" vertical="center"/>
    </xf>
    <xf numFmtId="0" fontId="14" fillId="0" borderId="28" xfId="0" applyFont="1" applyBorder="1" applyAlignment="1">
      <alignment horizontal="left" vertical="center"/>
    </xf>
    <xf numFmtId="0" fontId="14" fillId="0" borderId="33" xfId="0" applyFont="1" applyBorder="1" applyAlignment="1">
      <alignment horizontal="left" vertical="center"/>
    </xf>
    <xf numFmtId="0" fontId="17" fillId="0" borderId="0" xfId="1" applyFont="1" applyAlignment="1">
      <alignment horizontal="center" vertical="center"/>
    </xf>
    <xf numFmtId="0" fontId="14" fillId="0" borderId="21" xfId="0" applyFont="1" applyBorder="1" applyAlignment="1">
      <alignment horizontal="left" vertical="center"/>
    </xf>
    <xf numFmtId="0" fontId="14" fillId="0" borderId="16" xfId="0" applyFont="1" applyBorder="1" applyAlignment="1">
      <alignment horizontal="left" vertical="center"/>
    </xf>
  </cellXfs>
  <cellStyles count="5">
    <cellStyle name="Comma" xfId="2" builtinId="3"/>
    <cellStyle name="Hyperlink" xfId="4" builtinId="8"/>
    <cellStyle name="Normal" xfId="0" builtinId="0"/>
    <cellStyle name="Normal 2" xfId="3" xr:uid="{00000000-0005-0000-0000-000003000000}"/>
    <cellStyle name="Normal 3"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263433</xdr:colOff>
      <xdr:row>0</xdr:row>
      <xdr:rowOff>0</xdr:rowOff>
    </xdr:from>
    <xdr:to>
      <xdr:col>0</xdr:col>
      <xdr:colOff>2020252</xdr:colOff>
      <xdr:row>4</xdr:row>
      <xdr:rowOff>115939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433" y="0"/>
          <a:ext cx="1736817" cy="8407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tel:&#160;%20+91-22-67111555" TargetMode="External"/><Relationship Id="rId1" Type="http://schemas.openxmlformats.org/officeDocument/2006/relationships/hyperlink" Target="tel:&#160;%20+91-22-67111555%20Fax:%20+91-22-67111666&#16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3"/>
  <sheetViews>
    <sheetView tabSelected="1" zoomScale="106" zoomScaleNormal="100" workbookViewId="0">
      <selection activeCell="A40" sqref="A40:B40"/>
    </sheetView>
  </sheetViews>
  <sheetFormatPr defaultRowHeight="14.25" x14ac:dyDescent="0.45"/>
  <cols>
    <col min="1" max="1" width="39.59765625" bestFit="1" customWidth="1"/>
    <col min="2" max="2" width="41.86328125" customWidth="1"/>
    <col min="3" max="3" width="13.59765625" style="1" bestFit="1" customWidth="1"/>
    <col min="4" max="4" width="5.59765625" customWidth="1"/>
    <col min="5" max="5" width="4.86328125" bestFit="1" customWidth="1"/>
    <col min="6" max="6" width="10.59765625" customWidth="1"/>
    <col min="7" max="7" width="10.59765625" hidden="1" customWidth="1"/>
    <col min="8" max="8" width="16" customWidth="1"/>
    <col min="9" max="9" width="13.3984375" customWidth="1"/>
    <col min="10" max="10" width="107.86328125" customWidth="1"/>
    <col min="11" max="11" width="19.3984375" bestFit="1" customWidth="1"/>
    <col min="12" max="12" width="15.59765625" customWidth="1"/>
  </cols>
  <sheetData>
    <row r="1" spans="1:12" ht="14.85" customHeight="1" x14ac:dyDescent="0.45">
      <c r="A1" s="86" t="s">
        <v>0</v>
      </c>
      <c r="B1" s="87"/>
      <c r="C1" s="87"/>
      <c r="D1" s="87"/>
      <c r="E1" s="87"/>
      <c r="F1" s="87"/>
      <c r="G1" s="87"/>
      <c r="H1" s="87"/>
      <c r="I1" s="16"/>
      <c r="J1" s="83"/>
      <c r="K1" s="81" t="s">
        <v>1</v>
      </c>
      <c r="L1" s="82"/>
    </row>
    <row r="2" spans="1:12" ht="14.85" customHeight="1" x14ac:dyDescent="0.45">
      <c r="A2" s="88"/>
      <c r="B2" s="89"/>
      <c r="C2" s="89"/>
      <c r="D2" s="89"/>
      <c r="E2" s="89"/>
      <c r="F2" s="89"/>
      <c r="G2" s="89"/>
      <c r="H2" s="89"/>
      <c r="I2" s="17"/>
      <c r="J2" s="84"/>
      <c r="K2" s="3" t="s">
        <v>2</v>
      </c>
      <c r="L2" s="2" t="s">
        <v>3</v>
      </c>
    </row>
    <row r="3" spans="1:12" ht="15" customHeight="1" x14ac:dyDescent="0.45">
      <c r="A3" s="90" t="s">
        <v>4</v>
      </c>
      <c r="B3" s="91"/>
      <c r="C3" s="91"/>
      <c r="D3" s="91"/>
      <c r="E3" s="91"/>
      <c r="F3" s="91"/>
      <c r="G3" s="91"/>
      <c r="H3" s="91"/>
      <c r="I3" s="18"/>
      <c r="J3" s="84"/>
      <c r="K3" s="3" t="s">
        <v>5</v>
      </c>
      <c r="L3" s="2" t="s">
        <v>6</v>
      </c>
    </row>
    <row r="4" spans="1:12" ht="15" customHeight="1" x14ac:dyDescent="0.45">
      <c r="A4" s="90" t="s">
        <v>7</v>
      </c>
      <c r="B4" s="91"/>
      <c r="C4" s="91"/>
      <c r="D4" s="91"/>
      <c r="E4" s="91"/>
      <c r="F4" s="91"/>
      <c r="G4" s="91"/>
      <c r="H4" s="91"/>
      <c r="I4" s="18"/>
      <c r="J4" s="84"/>
      <c r="K4" s="3" t="s">
        <v>8</v>
      </c>
      <c r="L4" s="4">
        <v>92</v>
      </c>
    </row>
    <row r="5" spans="1:12" ht="15.75" customHeight="1" thickBot="1" x14ac:dyDescent="0.5">
      <c r="A5" s="92" t="s">
        <v>9</v>
      </c>
      <c r="B5" s="93"/>
      <c r="C5" s="93"/>
      <c r="D5" s="93"/>
      <c r="E5" s="93"/>
      <c r="F5" s="93"/>
      <c r="G5" s="93"/>
      <c r="H5" s="93"/>
      <c r="I5" s="18"/>
      <c r="J5" s="85"/>
      <c r="K5" s="5" t="s">
        <v>10</v>
      </c>
      <c r="L5" s="6">
        <v>20</v>
      </c>
    </row>
    <row r="6" spans="1:12" ht="18" customHeight="1" thickBot="1" x14ac:dyDescent="0.5">
      <c r="A6" s="107" t="s">
        <v>11</v>
      </c>
      <c r="B6" s="108"/>
      <c r="C6" s="109"/>
      <c r="D6" s="110" t="s">
        <v>12</v>
      </c>
      <c r="E6" s="111"/>
      <c r="F6" s="111"/>
      <c r="G6" s="111"/>
      <c r="H6" s="111"/>
      <c r="I6" s="111"/>
      <c r="J6" s="7" t="s">
        <v>13</v>
      </c>
    </row>
    <row r="7" spans="1:12" ht="14.85" customHeight="1" x14ac:dyDescent="0.45">
      <c r="A7" s="116" t="s">
        <v>14</v>
      </c>
      <c r="B7" s="117"/>
      <c r="C7" s="117"/>
      <c r="D7" s="112" t="s">
        <v>15</v>
      </c>
      <c r="E7" s="113"/>
      <c r="F7" s="113"/>
      <c r="G7" s="113"/>
      <c r="H7" s="113"/>
      <c r="I7" s="114"/>
      <c r="J7" s="8" t="s">
        <v>16</v>
      </c>
    </row>
    <row r="8" spans="1:12" ht="14.85" customHeight="1" x14ac:dyDescent="0.45">
      <c r="A8" s="63" t="s">
        <v>17</v>
      </c>
      <c r="B8" s="64"/>
      <c r="C8" s="64"/>
      <c r="D8" s="66" t="s">
        <v>18</v>
      </c>
      <c r="E8" s="67"/>
      <c r="F8" s="67"/>
      <c r="G8" s="67"/>
      <c r="H8" s="67"/>
      <c r="I8" s="68"/>
      <c r="J8" s="9" t="s">
        <v>19</v>
      </c>
    </row>
    <row r="9" spans="1:12" ht="16.350000000000001" customHeight="1" x14ac:dyDescent="0.45">
      <c r="A9" s="63" t="s">
        <v>20</v>
      </c>
      <c r="B9" s="64"/>
      <c r="C9" s="64"/>
      <c r="D9" s="66" t="s">
        <v>21</v>
      </c>
      <c r="E9" s="67"/>
      <c r="F9" s="67"/>
      <c r="G9" s="67"/>
      <c r="H9" s="67"/>
      <c r="I9" s="68"/>
      <c r="J9" s="9" t="s">
        <v>22</v>
      </c>
    </row>
    <row r="10" spans="1:12" ht="16.350000000000001" customHeight="1" x14ac:dyDescent="0.45">
      <c r="A10" s="63" t="s">
        <v>23</v>
      </c>
      <c r="B10" s="64"/>
      <c r="C10" s="64"/>
      <c r="D10" s="66" t="s">
        <v>23</v>
      </c>
      <c r="E10" s="67"/>
      <c r="F10" s="67"/>
      <c r="G10" s="67"/>
      <c r="H10" s="67"/>
      <c r="I10" s="68"/>
      <c r="J10" s="9" t="s">
        <v>24</v>
      </c>
    </row>
    <row r="11" spans="1:12" ht="14.65" thickBot="1" x14ac:dyDescent="0.5">
      <c r="A11" s="63" t="s">
        <v>25</v>
      </c>
      <c r="B11" s="64"/>
      <c r="C11" s="64"/>
      <c r="D11" s="69" t="s">
        <v>26</v>
      </c>
      <c r="E11" s="70"/>
      <c r="F11" s="70"/>
      <c r="G11" s="70"/>
      <c r="H11" s="70"/>
      <c r="I11" s="71"/>
      <c r="J11" s="10" t="s">
        <v>27</v>
      </c>
    </row>
    <row r="12" spans="1:12" ht="18" x14ac:dyDescent="0.45">
      <c r="A12" s="75" t="s">
        <v>28</v>
      </c>
      <c r="B12" s="76"/>
      <c r="C12" s="76"/>
      <c r="D12" s="76"/>
      <c r="E12" s="76"/>
      <c r="F12" s="76"/>
      <c r="G12" s="76"/>
      <c r="H12" s="76"/>
      <c r="I12" s="76"/>
      <c r="J12" s="77"/>
    </row>
    <row r="13" spans="1:12" x14ac:dyDescent="0.45">
      <c r="A13" s="78"/>
      <c r="B13" s="79"/>
      <c r="C13" s="79"/>
      <c r="D13" s="79"/>
      <c r="E13" s="79"/>
      <c r="F13" s="79"/>
      <c r="G13" s="79"/>
      <c r="H13" s="79"/>
      <c r="I13" s="79"/>
      <c r="J13" s="80"/>
    </row>
    <row r="14" spans="1:12" x14ac:dyDescent="0.45">
      <c r="A14" s="73" t="s">
        <v>29</v>
      </c>
      <c r="B14" s="74"/>
      <c r="C14" s="59" t="str">
        <f>L3</f>
        <v>INR</v>
      </c>
      <c r="D14" s="58"/>
      <c r="E14" s="74"/>
      <c r="F14" s="74"/>
      <c r="G14" s="74"/>
      <c r="H14" s="74"/>
      <c r="I14" s="73"/>
      <c r="J14" s="74"/>
    </row>
    <row r="15" spans="1:12" ht="47.25" x14ac:dyDescent="0.45">
      <c r="A15" s="72" t="s">
        <v>30</v>
      </c>
      <c r="B15" s="72"/>
      <c r="C15" s="55" t="s">
        <v>31</v>
      </c>
      <c r="D15" s="55" t="s">
        <v>32</v>
      </c>
      <c r="E15" s="55" t="s">
        <v>33</v>
      </c>
      <c r="F15" s="56" t="s">
        <v>34</v>
      </c>
      <c r="G15" s="56" t="s">
        <v>35</v>
      </c>
      <c r="H15" s="55" t="s">
        <v>36</v>
      </c>
      <c r="I15" s="55" t="s">
        <v>37</v>
      </c>
      <c r="J15" s="57" t="s">
        <v>38</v>
      </c>
    </row>
    <row r="16" spans="1:12" ht="42.75" x14ac:dyDescent="0.5">
      <c r="A16" s="62" t="s">
        <v>39</v>
      </c>
      <c r="B16" s="62"/>
      <c r="C16" s="33"/>
      <c r="D16" s="41"/>
      <c r="E16" s="42"/>
      <c r="F16" s="43"/>
      <c r="G16" s="43"/>
      <c r="H16" s="44"/>
      <c r="I16" s="45"/>
      <c r="J16" s="46" t="s">
        <v>40</v>
      </c>
    </row>
    <row r="17" spans="1:10" ht="15.75" x14ac:dyDescent="0.5">
      <c r="A17" s="60" t="s">
        <v>41</v>
      </c>
      <c r="B17" s="60"/>
      <c r="C17" s="11" t="s">
        <v>42</v>
      </c>
      <c r="D17" s="12">
        <v>0</v>
      </c>
      <c r="E17" s="28">
        <v>1.25</v>
      </c>
      <c r="F17" s="22">
        <f>E17*L4</f>
        <v>115</v>
      </c>
      <c r="G17" s="22"/>
      <c r="H17" s="23">
        <f>F17*D17</f>
        <v>0</v>
      </c>
      <c r="I17" s="24">
        <f>H17-(H17*$L$5%)</f>
        <v>0</v>
      </c>
    </row>
    <row r="18" spans="1:10" ht="15.75" x14ac:dyDescent="0.5">
      <c r="A18" s="60" t="s">
        <v>43</v>
      </c>
      <c r="B18" s="60"/>
      <c r="C18" s="11" t="s">
        <v>42</v>
      </c>
      <c r="D18" s="12">
        <v>0</v>
      </c>
      <c r="E18" s="27">
        <v>4</v>
      </c>
      <c r="F18" s="22">
        <f>E18*L4</f>
        <v>368</v>
      </c>
      <c r="G18" s="22"/>
      <c r="H18" s="23">
        <f>F18*D18</f>
        <v>0</v>
      </c>
      <c r="I18" s="24">
        <f>H18-(H18*$L$5%)</f>
        <v>0</v>
      </c>
      <c r="J18" s="39"/>
    </row>
    <row r="19" spans="1:10" ht="15.75" x14ac:dyDescent="0.5">
      <c r="A19" s="60" t="s">
        <v>44</v>
      </c>
      <c r="B19" s="60"/>
      <c r="C19" s="11" t="s">
        <v>42</v>
      </c>
      <c r="D19" s="12">
        <v>0</v>
      </c>
      <c r="E19" s="27">
        <v>12</v>
      </c>
      <c r="F19" s="22">
        <f>E19*L4</f>
        <v>1104</v>
      </c>
      <c r="G19" s="22"/>
      <c r="H19" s="23">
        <f>F19*D19</f>
        <v>0</v>
      </c>
      <c r="I19" s="24">
        <f>H19-(H19*$L$5%)</f>
        <v>0</v>
      </c>
      <c r="J19" s="39"/>
    </row>
    <row r="20" spans="1:10" ht="15.75" x14ac:dyDescent="0.5">
      <c r="A20" s="61"/>
      <c r="B20" s="61"/>
      <c r="C20" s="11"/>
      <c r="D20" s="12"/>
      <c r="E20" s="27"/>
      <c r="F20" s="22"/>
      <c r="G20" s="22"/>
      <c r="H20" s="23"/>
      <c r="I20" s="24"/>
      <c r="J20" s="38"/>
    </row>
    <row r="21" spans="1:10" ht="28.5" x14ac:dyDescent="0.5">
      <c r="A21" s="62" t="s">
        <v>45</v>
      </c>
      <c r="B21" s="62"/>
      <c r="C21" s="33"/>
      <c r="D21" s="41"/>
      <c r="E21" s="42"/>
      <c r="F21" s="43"/>
      <c r="G21" s="43"/>
      <c r="H21" s="44"/>
      <c r="I21" s="45"/>
      <c r="J21" s="46" t="s">
        <v>46</v>
      </c>
    </row>
    <row r="22" spans="1:10" ht="15.75" x14ac:dyDescent="0.5">
      <c r="A22" s="60" t="s">
        <v>47</v>
      </c>
      <c r="B22" s="60"/>
      <c r="C22" s="11" t="s">
        <v>42</v>
      </c>
      <c r="D22" s="12">
        <v>0</v>
      </c>
      <c r="E22" s="28">
        <v>1.5</v>
      </c>
      <c r="F22" s="22">
        <f>E22*L4</f>
        <v>138</v>
      </c>
      <c r="G22" s="22"/>
      <c r="H22" s="23">
        <f>F22*D22</f>
        <v>0</v>
      </c>
      <c r="I22" s="24">
        <f>H22-(H22*$L$5%)</f>
        <v>0</v>
      </c>
      <c r="J22" s="40"/>
    </row>
    <row r="23" spans="1:10" ht="15.75" x14ac:dyDescent="0.5">
      <c r="A23" s="60" t="s">
        <v>48</v>
      </c>
      <c r="B23" s="60"/>
      <c r="C23" s="11" t="s">
        <v>42</v>
      </c>
      <c r="D23" s="12">
        <v>0</v>
      </c>
      <c r="E23" s="27">
        <v>4</v>
      </c>
      <c r="F23" s="22">
        <f>E23*L4</f>
        <v>368</v>
      </c>
      <c r="G23" s="22"/>
      <c r="H23" s="23">
        <f>F23*D23</f>
        <v>0</v>
      </c>
      <c r="I23" s="24">
        <f>H23-(H23*$L$5%)</f>
        <v>0</v>
      </c>
      <c r="J23" s="38"/>
    </row>
    <row r="24" spans="1:10" ht="15.75" x14ac:dyDescent="0.5">
      <c r="A24" s="60" t="s">
        <v>49</v>
      </c>
      <c r="B24" s="60"/>
      <c r="C24" s="11" t="s">
        <v>42</v>
      </c>
      <c r="D24" s="12">
        <v>0</v>
      </c>
      <c r="E24" s="27">
        <v>17.5</v>
      </c>
      <c r="F24" s="22">
        <f>E24*L4</f>
        <v>1610</v>
      </c>
      <c r="G24" s="22"/>
      <c r="H24" s="23">
        <f>F24*D24</f>
        <v>0</v>
      </c>
      <c r="I24" s="24">
        <f>H24-(H24*$L$5%)</f>
        <v>0</v>
      </c>
    </row>
    <row r="25" spans="1:10" ht="15.75" x14ac:dyDescent="0.5">
      <c r="A25" s="60" t="s">
        <v>50</v>
      </c>
      <c r="B25" s="60"/>
      <c r="C25" s="11" t="s">
        <v>42</v>
      </c>
      <c r="D25" s="12">
        <v>0</v>
      </c>
      <c r="E25" s="27">
        <v>1.75</v>
      </c>
      <c r="F25" s="22">
        <f>E25*L4</f>
        <v>161</v>
      </c>
      <c r="G25" s="22"/>
      <c r="H25" s="23">
        <f>F25*D25</f>
        <v>0</v>
      </c>
      <c r="I25" s="24">
        <f t="shared" ref="I25:I26" si="0">H25-(H25*$L$5%)</f>
        <v>0</v>
      </c>
      <c r="J25" s="46" t="s">
        <v>51</v>
      </c>
    </row>
    <row r="26" spans="1:10" ht="15.75" x14ac:dyDescent="0.5">
      <c r="A26" s="60" t="s">
        <v>52</v>
      </c>
      <c r="B26" s="60"/>
      <c r="C26" s="11" t="s">
        <v>42</v>
      </c>
      <c r="D26" s="12">
        <v>0</v>
      </c>
      <c r="E26" s="27">
        <v>2</v>
      </c>
      <c r="F26" s="22">
        <f>E26*L4</f>
        <v>184</v>
      </c>
      <c r="G26" s="22"/>
      <c r="H26" s="23">
        <f>F26*D26</f>
        <v>0</v>
      </c>
      <c r="I26" s="24">
        <f t="shared" si="0"/>
        <v>0</v>
      </c>
      <c r="J26" s="46" t="s">
        <v>51</v>
      </c>
    </row>
    <row r="27" spans="1:10" ht="15.75" x14ac:dyDescent="0.45">
      <c r="A27" s="61"/>
      <c r="B27" s="61"/>
      <c r="C27" s="34"/>
      <c r="D27" s="35"/>
      <c r="E27" s="36"/>
      <c r="F27" s="22"/>
      <c r="G27" s="22"/>
      <c r="H27" s="22"/>
      <c r="I27" s="24"/>
    </row>
    <row r="28" spans="1:10" ht="15.75" x14ac:dyDescent="0.5">
      <c r="A28" s="62" t="s">
        <v>53</v>
      </c>
      <c r="B28" s="62"/>
      <c r="C28" s="47"/>
      <c r="D28" s="48"/>
      <c r="E28" s="49"/>
      <c r="F28" s="50"/>
      <c r="G28" s="50"/>
      <c r="H28" s="51"/>
      <c r="I28" s="21"/>
      <c r="J28" s="46"/>
    </row>
    <row r="29" spans="1:10" ht="81" customHeight="1" x14ac:dyDescent="0.45">
      <c r="A29" s="60" t="s">
        <v>54</v>
      </c>
      <c r="B29" s="60"/>
      <c r="C29" s="34" t="s">
        <v>55</v>
      </c>
      <c r="D29" s="35">
        <v>0</v>
      </c>
      <c r="E29" s="36">
        <v>1.22</v>
      </c>
      <c r="F29" s="22">
        <f>E29*L4</f>
        <v>112.24</v>
      </c>
      <c r="G29" s="22"/>
      <c r="H29" s="22">
        <f>F29*D29</f>
        <v>0</v>
      </c>
      <c r="I29" s="24">
        <f>H29-(H29*$L$5%)</f>
        <v>0</v>
      </c>
      <c r="J29" s="46" t="s">
        <v>56</v>
      </c>
    </row>
    <row r="30" spans="1:10" ht="15.75" x14ac:dyDescent="0.5">
      <c r="A30" s="62" t="s">
        <v>57</v>
      </c>
      <c r="B30" s="62"/>
      <c r="C30" s="47"/>
      <c r="D30" s="48"/>
      <c r="E30" s="49"/>
      <c r="F30" s="50"/>
      <c r="G30" s="50"/>
      <c r="H30" s="51"/>
      <c r="I30" s="21"/>
    </row>
    <row r="31" spans="1:10" ht="57" x14ac:dyDescent="0.45">
      <c r="A31" s="60" t="s">
        <v>58</v>
      </c>
      <c r="B31" s="60"/>
      <c r="C31" s="34" t="s">
        <v>55</v>
      </c>
      <c r="D31" s="35">
        <v>0</v>
      </c>
      <c r="E31" s="36">
        <v>1.18</v>
      </c>
      <c r="F31" s="22">
        <f>E31*L4</f>
        <v>108.55999999999999</v>
      </c>
      <c r="G31" s="22"/>
      <c r="H31" s="22">
        <f t="shared" ref="H31" si="1">F31*D31</f>
        <v>0</v>
      </c>
      <c r="I31" s="24">
        <f>H31-(H31*$L$5%)</f>
        <v>0</v>
      </c>
      <c r="J31" s="46" t="s">
        <v>59</v>
      </c>
    </row>
    <row r="32" spans="1:10" ht="15.75" x14ac:dyDescent="0.5">
      <c r="A32" s="62" t="s">
        <v>60</v>
      </c>
      <c r="B32" s="62"/>
      <c r="C32" s="47"/>
      <c r="D32" s="48"/>
      <c r="E32" s="49"/>
      <c r="F32" s="50"/>
      <c r="G32" s="50"/>
      <c r="H32" s="51"/>
      <c r="I32" s="21"/>
      <c r="J32" s="54"/>
    </row>
    <row r="33" spans="1:10" ht="71.25" x14ac:dyDescent="0.45">
      <c r="A33" s="60" t="s">
        <v>61</v>
      </c>
      <c r="B33" s="60"/>
      <c r="C33" s="34" t="s">
        <v>55</v>
      </c>
      <c r="D33" s="35">
        <v>0</v>
      </c>
      <c r="E33" s="36">
        <v>1.75</v>
      </c>
      <c r="F33" s="22">
        <f>E33*L4</f>
        <v>161</v>
      </c>
      <c r="G33" s="22">
        <f>F33*12</f>
        <v>1932</v>
      </c>
      <c r="H33" s="22">
        <f t="shared" ref="H33:H35" si="2">F33*D33</f>
        <v>0</v>
      </c>
      <c r="I33" s="24">
        <f>H33-(H33*$L$5%)</f>
        <v>0</v>
      </c>
      <c r="J33" s="46" t="s">
        <v>62</v>
      </c>
    </row>
    <row r="34" spans="1:10" ht="15.75" x14ac:dyDescent="0.5">
      <c r="A34" s="62" t="s">
        <v>63</v>
      </c>
      <c r="B34" s="62"/>
      <c r="C34" s="47"/>
      <c r="D34" s="48"/>
      <c r="E34" s="49"/>
      <c r="F34" s="50"/>
      <c r="G34" s="50"/>
      <c r="H34" s="51"/>
      <c r="I34" s="21"/>
      <c r="J34" s="46"/>
    </row>
    <row r="35" spans="1:10" ht="15.75" x14ac:dyDescent="0.5">
      <c r="A35" s="60" t="s">
        <v>64</v>
      </c>
      <c r="B35" s="60"/>
      <c r="C35" s="11" t="s">
        <v>55</v>
      </c>
      <c r="D35" s="12">
        <v>0</v>
      </c>
      <c r="E35" s="28">
        <v>2.355</v>
      </c>
      <c r="F35" s="22">
        <f>E35*L4</f>
        <v>216.66</v>
      </c>
      <c r="G35" s="29"/>
      <c r="H35" s="23">
        <f t="shared" si="2"/>
        <v>0</v>
      </c>
      <c r="I35" s="24">
        <f>H35-(H35*$L$5%)</f>
        <v>0</v>
      </c>
      <c r="J35" s="53" t="s">
        <v>65</v>
      </c>
    </row>
    <row r="36" spans="1:10" ht="15.75" x14ac:dyDescent="0.5">
      <c r="A36" s="61"/>
      <c r="B36" s="61"/>
      <c r="C36" s="11"/>
      <c r="D36" s="12"/>
      <c r="E36" s="28"/>
      <c r="F36" s="29"/>
      <c r="G36" s="29"/>
      <c r="H36" s="23"/>
      <c r="I36" s="24"/>
      <c r="J36" s="30"/>
    </row>
    <row r="37" spans="1:10" ht="15.75" x14ac:dyDescent="0.5">
      <c r="A37" s="62" t="s">
        <v>66</v>
      </c>
      <c r="B37" s="62"/>
      <c r="C37" s="47"/>
      <c r="D37" s="48"/>
      <c r="E37" s="49"/>
      <c r="F37" s="50"/>
      <c r="G37" s="50"/>
      <c r="H37" s="51"/>
      <c r="I37" s="21"/>
      <c r="J37" s="46"/>
    </row>
    <row r="38" spans="1:10" ht="15.75" x14ac:dyDescent="0.45">
      <c r="A38" s="60" t="s">
        <v>67</v>
      </c>
      <c r="B38" s="60"/>
      <c r="C38" s="34" t="s">
        <v>68</v>
      </c>
      <c r="D38" s="35">
        <v>0</v>
      </c>
      <c r="E38" s="37">
        <v>75</v>
      </c>
      <c r="F38" s="29">
        <f>E38*L4</f>
        <v>6900</v>
      </c>
      <c r="G38" s="29"/>
      <c r="H38" s="22">
        <f t="shared" ref="H38" si="3">F38*D38</f>
        <v>0</v>
      </c>
      <c r="I38" s="24">
        <f>H38-(H38*$L$5%)</f>
        <v>0</v>
      </c>
      <c r="J38" s="52"/>
    </row>
    <row r="39" spans="1:10" ht="15.75" x14ac:dyDescent="0.45">
      <c r="A39" s="60"/>
      <c r="B39" s="60"/>
      <c r="C39" s="34"/>
      <c r="D39" s="35"/>
      <c r="E39" s="37"/>
      <c r="F39" s="29"/>
      <c r="G39" s="29"/>
      <c r="H39" s="22"/>
      <c r="I39" s="24"/>
      <c r="J39" s="52"/>
    </row>
    <row r="40" spans="1:10" ht="15.75" x14ac:dyDescent="0.5">
      <c r="A40" s="115"/>
      <c r="B40" s="115"/>
      <c r="C40" s="11"/>
      <c r="D40" s="12"/>
      <c r="E40" s="28"/>
      <c r="F40" s="29"/>
      <c r="G40" s="29"/>
      <c r="H40" s="23"/>
      <c r="I40" s="24"/>
      <c r="J40" s="30"/>
    </row>
    <row r="41" spans="1:10" ht="15.75" x14ac:dyDescent="0.45">
      <c r="A41" s="62" t="s">
        <v>69</v>
      </c>
      <c r="B41" s="62"/>
      <c r="C41" s="15"/>
      <c r="D41" s="15"/>
      <c r="E41" s="15"/>
      <c r="F41" s="19"/>
      <c r="G41" s="19"/>
      <c r="H41" s="21">
        <f>SUM(H17:H38)</f>
        <v>0</v>
      </c>
      <c r="I41" s="32">
        <f>SUM(I17:I38)</f>
        <v>0</v>
      </c>
      <c r="J41" s="31"/>
    </row>
    <row r="42" spans="1:10" ht="15.75" x14ac:dyDescent="0.45">
      <c r="A42" s="62" t="s">
        <v>70</v>
      </c>
      <c r="B42" s="62"/>
      <c r="C42" s="15"/>
      <c r="D42" s="15"/>
      <c r="E42" s="15"/>
      <c r="F42" s="19"/>
      <c r="G42" s="19"/>
      <c r="H42" s="21">
        <v>12</v>
      </c>
      <c r="I42" s="32">
        <v>12</v>
      </c>
      <c r="J42" s="31"/>
    </row>
    <row r="43" spans="1:10" ht="15.75" x14ac:dyDescent="0.45">
      <c r="A43" s="106" t="s">
        <v>71</v>
      </c>
      <c r="B43" s="106"/>
      <c r="C43" s="15"/>
      <c r="D43" s="15"/>
      <c r="E43" s="15"/>
      <c r="F43" s="19"/>
      <c r="G43" s="19"/>
      <c r="H43" s="21">
        <f>H41*H42</f>
        <v>0</v>
      </c>
      <c r="I43" s="32">
        <f>I41*I42</f>
        <v>0</v>
      </c>
      <c r="J43" s="31"/>
    </row>
    <row r="44" spans="1:10" ht="15.75" x14ac:dyDescent="0.45">
      <c r="A44" s="106" t="s">
        <v>72</v>
      </c>
      <c r="B44" s="106"/>
      <c r="C44" s="15"/>
      <c r="D44" s="14">
        <v>200</v>
      </c>
      <c r="E44" s="14">
        <v>10</v>
      </c>
      <c r="F44" s="21">
        <v>999</v>
      </c>
      <c r="G44" s="26"/>
      <c r="H44" s="21">
        <f>D44*F44</f>
        <v>199800</v>
      </c>
      <c r="I44" s="32">
        <f>(H44)-(H44*20%)</f>
        <v>159840</v>
      </c>
      <c r="J44" s="31" t="s">
        <v>72</v>
      </c>
    </row>
    <row r="45" spans="1:10" ht="15.75" x14ac:dyDescent="0.45">
      <c r="A45" s="106" t="s">
        <v>73</v>
      </c>
      <c r="B45" s="106"/>
      <c r="C45" s="15"/>
      <c r="D45" s="14"/>
      <c r="E45" s="14"/>
      <c r="F45" s="20"/>
      <c r="G45" s="20"/>
      <c r="H45" s="21"/>
      <c r="I45" s="25"/>
      <c r="J45" s="31"/>
    </row>
    <row r="46" spans="1:10" ht="15.75" x14ac:dyDescent="0.45">
      <c r="A46" s="65"/>
      <c r="B46" s="65"/>
      <c r="C46" s="13"/>
      <c r="D46" s="13"/>
      <c r="E46" s="13"/>
      <c r="F46" s="13"/>
      <c r="G46" s="13"/>
      <c r="H46" s="13"/>
      <c r="I46" s="13"/>
      <c r="J46" s="13"/>
    </row>
    <row r="47" spans="1:10" ht="14.65" thickBot="1" x14ac:dyDescent="0.5">
      <c r="A47" s="97" t="s">
        <v>74</v>
      </c>
      <c r="B47" s="98"/>
      <c r="C47" s="98"/>
      <c r="D47" s="98"/>
      <c r="E47" s="98"/>
      <c r="F47" s="98"/>
      <c r="G47" s="98"/>
      <c r="H47" s="98"/>
      <c r="I47" s="98"/>
      <c r="J47" s="99"/>
    </row>
    <row r="48" spans="1:10" x14ac:dyDescent="0.45">
      <c r="A48" s="100" t="s">
        <v>75</v>
      </c>
      <c r="B48" s="101"/>
      <c r="C48" s="101"/>
      <c r="D48" s="101"/>
      <c r="E48" s="101"/>
      <c r="F48" s="101"/>
      <c r="G48" s="101"/>
      <c r="H48" s="101"/>
      <c r="I48" s="101"/>
      <c r="J48" s="102"/>
    </row>
    <row r="49" spans="1:10" x14ac:dyDescent="0.45">
      <c r="A49" s="103" t="s">
        <v>76</v>
      </c>
      <c r="B49" s="104"/>
      <c r="C49" s="104"/>
      <c r="D49" s="104"/>
      <c r="E49" s="104"/>
      <c r="F49" s="104"/>
      <c r="G49" s="104"/>
      <c r="H49" s="104"/>
      <c r="I49" s="104"/>
      <c r="J49" s="105"/>
    </row>
    <row r="50" spans="1:10" x14ac:dyDescent="0.45">
      <c r="A50" s="103" t="s">
        <v>77</v>
      </c>
      <c r="B50" s="104"/>
      <c r="C50" s="104"/>
      <c r="D50" s="104"/>
      <c r="E50" s="104"/>
      <c r="F50" s="104"/>
      <c r="G50" s="104"/>
      <c r="H50" s="104"/>
      <c r="I50" s="104"/>
      <c r="J50" s="105"/>
    </row>
    <row r="51" spans="1:10" x14ac:dyDescent="0.45">
      <c r="A51" s="103" t="s">
        <v>78</v>
      </c>
      <c r="B51" s="104"/>
      <c r="C51" s="104"/>
      <c r="D51" s="104"/>
      <c r="E51" s="104"/>
      <c r="F51" s="104"/>
      <c r="G51" s="104"/>
      <c r="H51" s="104"/>
      <c r="I51" s="104"/>
      <c r="J51" s="105"/>
    </row>
    <row r="52" spans="1:10" x14ac:dyDescent="0.45">
      <c r="A52" s="103" t="s">
        <v>79</v>
      </c>
      <c r="B52" s="104"/>
      <c r="C52" s="104"/>
      <c r="D52" s="104"/>
      <c r="E52" s="104"/>
      <c r="F52" s="104"/>
      <c r="G52" s="104"/>
      <c r="H52" s="104"/>
      <c r="I52" s="104"/>
      <c r="J52" s="105"/>
    </row>
    <row r="53" spans="1:10" ht="14.65" thickBot="1" x14ac:dyDescent="0.5">
      <c r="A53" s="94" t="s">
        <v>80</v>
      </c>
      <c r="B53" s="95"/>
      <c r="C53" s="95"/>
      <c r="D53" s="95"/>
      <c r="E53" s="95"/>
      <c r="F53" s="95"/>
      <c r="G53" s="95"/>
      <c r="H53" s="95"/>
      <c r="I53" s="95"/>
      <c r="J53" s="96"/>
    </row>
  </sheetData>
  <mergeCells count="63">
    <mergeCell ref="A42:B42"/>
    <mergeCell ref="A43:B43"/>
    <mergeCell ref="A45:B45"/>
    <mergeCell ref="A6:C6"/>
    <mergeCell ref="D6:I6"/>
    <mergeCell ref="D7:I7"/>
    <mergeCell ref="A36:B36"/>
    <mergeCell ref="A37:B37"/>
    <mergeCell ref="A40:B40"/>
    <mergeCell ref="A38:B38"/>
    <mergeCell ref="A41:B41"/>
    <mergeCell ref="A44:B44"/>
    <mergeCell ref="D8:I8"/>
    <mergeCell ref="D9:I9"/>
    <mergeCell ref="A7:C7"/>
    <mergeCell ref="A8:C8"/>
    <mergeCell ref="A53:J53"/>
    <mergeCell ref="A47:J47"/>
    <mergeCell ref="A48:J48"/>
    <mergeCell ref="A49:J49"/>
    <mergeCell ref="A50:J50"/>
    <mergeCell ref="A51:J51"/>
    <mergeCell ref="A52:J52"/>
    <mergeCell ref="K1:L1"/>
    <mergeCell ref="J1:J5"/>
    <mergeCell ref="A1:H2"/>
    <mergeCell ref="A3:H3"/>
    <mergeCell ref="A4:H4"/>
    <mergeCell ref="A5:H5"/>
    <mergeCell ref="A46:B46"/>
    <mergeCell ref="D10:I10"/>
    <mergeCell ref="D11:I11"/>
    <mergeCell ref="A15:B15"/>
    <mergeCell ref="A17:B17"/>
    <mergeCell ref="A14:B14"/>
    <mergeCell ref="A10:C10"/>
    <mergeCell ref="A11:C11"/>
    <mergeCell ref="E14:F14"/>
    <mergeCell ref="G14:H14"/>
    <mergeCell ref="I14:J14"/>
    <mergeCell ref="A12:J12"/>
    <mergeCell ref="A13:J13"/>
    <mergeCell ref="A16:B16"/>
    <mergeCell ref="A26:B26"/>
    <mergeCell ref="A28:B28"/>
    <mergeCell ref="A9:C9"/>
    <mergeCell ref="A21:B21"/>
    <mergeCell ref="A25:B25"/>
    <mergeCell ref="A20:B20"/>
    <mergeCell ref="A22:B22"/>
    <mergeCell ref="A23:B23"/>
    <mergeCell ref="A24:B24"/>
    <mergeCell ref="A18:B18"/>
    <mergeCell ref="A19:B19"/>
    <mergeCell ref="A31:B31"/>
    <mergeCell ref="A27:B27"/>
    <mergeCell ref="A39:B39"/>
    <mergeCell ref="A34:B34"/>
    <mergeCell ref="A30:B30"/>
    <mergeCell ref="A29:B29"/>
    <mergeCell ref="A33:B33"/>
    <mergeCell ref="A35:B35"/>
    <mergeCell ref="A32:B32"/>
  </mergeCells>
  <hyperlinks>
    <hyperlink ref="A4" r:id="rId1" display="Tel:  +91-22-67111555 Fax: +91-22-67111666  " xr:uid="{00000000-0004-0000-0000-000000000000}"/>
    <hyperlink ref="A5" r:id="rId2" xr:uid="{00000000-0004-0000-0000-000001000000}"/>
  </hyperlinks>
  <pageMargins left="0.25" right="0.25" top="0.75" bottom="0.75" header="0.3" footer="0.3"/>
  <pageSetup paperSize="9" scale="73" orientation="landscape"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997ccbc-289b-4270-ae04-5292931ac304" xsi:nil="true"/>
    <lcf76f155ced4ddcb4097134ff3c332f xmlns="270a52b9-840b-4408-9342-83d2fcbe797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662D44A6443C419D40112B2555FBAB" ma:contentTypeVersion="11" ma:contentTypeDescription="Create a new document." ma:contentTypeScope="" ma:versionID="4022272bc32b456973d52b3b08ac0033">
  <xsd:schema xmlns:xsd="http://www.w3.org/2001/XMLSchema" xmlns:xs="http://www.w3.org/2001/XMLSchema" xmlns:p="http://schemas.microsoft.com/office/2006/metadata/properties" xmlns:ns2="270a52b9-840b-4408-9342-83d2fcbe797e" xmlns:ns3="3997ccbc-289b-4270-ae04-5292931ac304" targetNamespace="http://schemas.microsoft.com/office/2006/metadata/properties" ma:root="true" ma:fieldsID="831db70445a48b7b974bb8794dd45ae8" ns2:_="" ns3:_="">
    <xsd:import namespace="270a52b9-840b-4408-9342-83d2fcbe797e"/>
    <xsd:import namespace="3997ccbc-289b-4270-ae04-5292931ac3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0a52b9-840b-4408-9342-83d2fcbe79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a51d3a-a750-4965-a966-12d54834ae6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97ccbc-289b-4270-ae04-5292931ac30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0890fff-0920-4fe3-af70-c15e49fb5475}" ma:internalName="TaxCatchAll" ma:showField="CatchAllData" ma:web="3997ccbc-289b-4270-ae04-5292931ac3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C117DB-7544-4B75-B2AE-D56489B061FA}">
  <ds:schemaRefs>
    <ds:schemaRef ds:uri="http://schemas.microsoft.com/office/2006/documentManagement/types"/>
    <ds:schemaRef ds:uri="http://schemas.microsoft.com/office/infopath/2007/PartnerControls"/>
    <ds:schemaRef ds:uri="3997ccbc-289b-4270-ae04-5292931ac304"/>
    <ds:schemaRef ds:uri="270a52b9-840b-4408-9342-83d2fcbe797e"/>
    <ds:schemaRef ds:uri="http://purl.org/dc/dcmitype/"/>
    <ds:schemaRef ds:uri="http://schemas.openxmlformats.org/package/2006/metadata/core-properties"/>
    <ds:schemaRef ds:uri="http://purl.org/dc/elements/1.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B8F19FAC-C8BF-425B-907B-1BFBCFEE07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0a52b9-840b-4408-9342-83d2fcbe797e"/>
    <ds:schemaRef ds:uri="3997ccbc-289b-4270-ae04-5292931ac3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0DFE9-04A0-49F4-886B-23F859A2CF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Acronis Cyber Protect Cloud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Samir Jhaveri</dc:creator>
  <cp:keywords/>
  <dc:description/>
  <cp:lastModifiedBy>Tarushi Chaudhary</cp:lastModifiedBy>
  <cp:revision/>
  <dcterms:created xsi:type="dcterms:W3CDTF">2015-02-04T09:50:33Z</dcterms:created>
  <dcterms:modified xsi:type="dcterms:W3CDTF">2026-02-22T18:31:49Z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0x0101009D662D44A6443C419D40112B2555FBAB</vt:lpwstr>
  </property>
  <property fmtid="{D5CDD505-2E9C-101B-9397-08002B2CF9AE}" pid="3" name="MediaServiceImageTags">
    <vt:lpwstr/>
  </property>
</Properties>
</file>