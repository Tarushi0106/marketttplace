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W:\XLIN - Channel Sales Tool\Video Surveillance as a Service (VSaaS)\"/>
    </mc:Choice>
  </mc:AlternateContent>
  <xr:revisionPtr revIDLastSave="0" documentId="13_ncr:1_{B8E9C0D3-2056-4D3F-9D06-ED8A9883F439}" xr6:coauthVersionLast="47" xr6:coauthVersionMax="47" xr10:uidLastSave="{00000000-0000-0000-0000-000000000000}"/>
  <bookViews>
    <workbookView xWindow="-120" yWindow="-120" windowWidth="57840" windowHeight="15720" tabRatio="253" xr2:uid="{00000000-000D-0000-FFFF-FFFF00000000}"/>
  </bookViews>
  <sheets>
    <sheet name="VSaaS Cloud" sheetId="5" r:id="rId1"/>
    <sheet name="VSaaS- On Premise" sheetId="6" r:id="rId2"/>
    <sheet name="Credits Description" sheetId="7" r:id="rId3"/>
    <sheet name="RFQ"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8" l="1"/>
  <c r="E22" i="8"/>
  <c r="F22" i="8"/>
  <c r="G22" i="8"/>
  <c r="H22" i="8"/>
  <c r="I22" i="8"/>
  <c r="J22" i="8"/>
  <c r="K22" i="8"/>
  <c r="L22" i="8"/>
  <c r="M22" i="8"/>
  <c r="N22" i="8"/>
  <c r="F26" i="6"/>
  <c r="G26" i="6" s="1"/>
  <c r="B12" i="6"/>
  <c r="E15" i="6"/>
  <c r="F15" i="6"/>
  <c r="G15" i="6" s="1"/>
  <c r="E16" i="6"/>
  <c r="F16" i="6"/>
  <c r="G16" i="6" s="1"/>
  <c r="E17" i="6"/>
  <c r="F17" i="6"/>
  <c r="G17" i="6"/>
  <c r="E22" i="6"/>
  <c r="F22" i="6"/>
  <c r="G22" i="6"/>
  <c r="E23" i="6"/>
  <c r="F23" i="6"/>
  <c r="G23" i="6"/>
  <c r="F24" i="6"/>
  <c r="G24" i="6"/>
  <c r="G18" i="6" l="1"/>
  <c r="G27" i="6" s="1"/>
  <c r="F18" i="6"/>
  <c r="F27" i="6" s="1"/>
  <c r="H32" i="5"/>
  <c r="H80" i="5"/>
  <c r="F75" i="5"/>
  <c r="H75" i="5" s="1"/>
  <c r="B16" i="5"/>
  <c r="E17" i="5"/>
  <c r="F17" i="5" s="1"/>
  <c r="H17" i="5" s="1"/>
  <c r="E20" i="5"/>
  <c r="F20" i="5" s="1"/>
  <c r="H20" i="5" s="1"/>
  <c r="E21" i="5"/>
  <c r="F21" i="5" s="1"/>
  <c r="H21" i="5" s="1"/>
  <c r="E22" i="5"/>
  <c r="G22" i="5" s="1"/>
  <c r="E23" i="5"/>
  <c r="G23" i="5" s="1"/>
  <c r="E24" i="5"/>
  <c r="F24" i="5" s="1"/>
  <c r="H24" i="5" s="1"/>
  <c r="E27" i="5"/>
  <c r="F27" i="5" s="1"/>
  <c r="H27" i="5" s="1"/>
  <c r="E28" i="5"/>
  <c r="G28" i="5" s="1"/>
  <c r="E29" i="5"/>
  <c r="F29" i="5" s="1"/>
  <c r="H29" i="5" s="1"/>
  <c r="E36" i="5"/>
  <c r="G36" i="5" s="1"/>
  <c r="E72" i="5"/>
  <c r="G72" i="5" s="1"/>
  <c r="E69" i="5"/>
  <c r="G69" i="5" s="1"/>
  <c r="E66" i="5"/>
  <c r="G66" i="5" s="1"/>
  <c r="E65" i="5"/>
  <c r="G65" i="5" s="1"/>
  <c r="E62" i="5"/>
  <c r="G62" i="5" s="1"/>
  <c r="E61" i="5"/>
  <c r="G61" i="5" s="1"/>
  <c r="E58" i="5"/>
  <c r="G58" i="5" s="1"/>
  <c r="E57" i="5"/>
  <c r="G57" i="5" s="1"/>
  <c r="E56" i="5"/>
  <c r="G56" i="5" s="1"/>
  <c r="E55" i="5"/>
  <c r="G55" i="5" s="1"/>
  <c r="E54" i="5"/>
  <c r="G54" i="5" s="1"/>
  <c r="E53" i="5"/>
  <c r="G53" i="5" s="1"/>
  <c r="E52" i="5"/>
  <c r="G52" i="5" s="1"/>
  <c r="E51" i="5"/>
  <c r="G51" i="5" s="1"/>
  <c r="E48" i="5"/>
  <c r="G48" i="5" s="1"/>
  <c r="E47" i="5"/>
  <c r="G47" i="5" s="1"/>
  <c r="E46" i="5"/>
  <c r="G46" i="5" s="1"/>
  <c r="E45" i="5"/>
  <c r="G45" i="5" s="1"/>
  <c r="E44" i="5"/>
  <c r="G44" i="5" s="1"/>
  <c r="E43" i="5"/>
  <c r="G43" i="5" s="1"/>
  <c r="G17" i="5" l="1"/>
  <c r="F23" i="5"/>
  <c r="H23" i="5" s="1"/>
  <c r="G24" i="5"/>
  <c r="G20" i="5"/>
  <c r="F28" i="5"/>
  <c r="H28" i="5" s="1"/>
  <c r="F22" i="5"/>
  <c r="H22" i="5" s="1"/>
  <c r="G29" i="5"/>
  <c r="F36" i="5"/>
  <c r="H36" i="5" s="1"/>
  <c r="G27" i="5"/>
  <c r="G21" i="5"/>
  <c r="F31" i="5" l="1"/>
  <c r="H31" i="5" s="1"/>
  <c r="F72" i="5"/>
  <c r="H72" i="5" s="1"/>
  <c r="F66" i="5"/>
  <c r="H66" i="5" s="1"/>
  <c r="F33" i="5" l="1"/>
  <c r="H33" i="5"/>
  <c r="F69" i="5"/>
  <c r="H69" i="5" s="1"/>
  <c r="F65" i="5"/>
  <c r="H65" i="5" s="1"/>
  <c r="F61" i="5"/>
  <c r="H61" i="5" s="1"/>
  <c r="F62" i="5"/>
  <c r="H62" i="5" s="1"/>
  <c r="F58" i="5"/>
  <c r="H58" i="5" s="1"/>
  <c r="F57" i="5"/>
  <c r="H57" i="5" s="1"/>
  <c r="F51" i="5"/>
  <c r="H51" i="5" s="1"/>
  <c r="F52" i="5"/>
  <c r="H52" i="5" s="1"/>
  <c r="F53" i="5"/>
  <c r="H53" i="5" s="1"/>
  <c r="F54" i="5"/>
  <c r="H54" i="5" s="1"/>
  <c r="F55" i="5"/>
  <c r="H55" i="5" s="1"/>
  <c r="F56" i="5"/>
  <c r="H56" i="5" s="1"/>
  <c r="F48" i="5"/>
  <c r="H48" i="5" s="1"/>
  <c r="F43" i="5"/>
  <c r="F44" i="5"/>
  <c r="H44" i="5" s="1"/>
  <c r="F45" i="5"/>
  <c r="H45" i="5" s="1"/>
  <c r="F46" i="5"/>
  <c r="H46" i="5" s="1"/>
  <c r="F47" i="5"/>
  <c r="H47" i="5" s="1"/>
  <c r="F74" i="5" l="1"/>
  <c r="H74" i="5" s="1"/>
  <c r="H43" i="5"/>
  <c r="H37" i="5"/>
  <c r="F37" i="5"/>
  <c r="F79" i="5" s="1"/>
  <c r="H79" i="5" l="1"/>
  <c r="F76" i="5"/>
  <c r="F78" i="5" s="1"/>
  <c r="F81" i="5" s="1"/>
  <c r="H76" i="5"/>
  <c r="H78" i="5" l="1"/>
  <c r="H81" i="5" s="1"/>
</calcChain>
</file>

<file path=xl/sharedStrings.xml><?xml version="1.0" encoding="utf-8"?>
<sst xmlns="http://schemas.openxmlformats.org/spreadsheetml/2006/main" count="359" uniqueCount="243">
  <si>
    <t>Unit</t>
  </si>
  <si>
    <t>Comments</t>
  </si>
  <si>
    <t>Currency Calculator</t>
  </si>
  <si>
    <t>Base Currency Unit</t>
  </si>
  <si>
    <t>Quote Currency  Unit</t>
  </si>
  <si>
    <t>Currency Exchange Rate</t>
  </si>
  <si>
    <t>USD</t>
  </si>
  <si>
    <t>Partner Margin %</t>
  </si>
  <si>
    <t>Contract Terms &amp; Conditions</t>
  </si>
  <si>
    <t>Customer Amount
(Monthly)</t>
  </si>
  <si>
    <t>End Customer Details</t>
  </si>
  <si>
    <t xml:space="preserve">Website :  </t>
  </si>
  <si>
    <t xml:space="preserve">Quote Date :  </t>
  </si>
  <si>
    <t xml:space="preserve">Email : </t>
  </si>
  <si>
    <t xml:space="preserve">Website : </t>
  </si>
  <si>
    <t xml:space="preserve">Company Name : </t>
  </si>
  <si>
    <t>Contact Person : Mr</t>
  </si>
  <si>
    <t>Phone No :  +91</t>
  </si>
  <si>
    <t>XcellHost Sales Team</t>
  </si>
  <si>
    <t>Channel Partner Details</t>
  </si>
  <si>
    <t>Item Descripition</t>
  </si>
  <si>
    <t>$</t>
  </si>
  <si>
    <t xml:space="preserve">XcellHost Cloud Services Pvt. Ltd. </t>
  </si>
  <si>
    <t xml:space="preserve">Partner Company Name :  </t>
  </si>
  <si>
    <t xml:space="preserve">Partner Contact Person  : </t>
  </si>
  <si>
    <t>Partner Phone No : +91</t>
  </si>
  <si>
    <t xml:space="preserve">Sales Rep :  Mr. </t>
  </si>
  <si>
    <t>Qty</t>
  </si>
  <si>
    <t xml:space="preserve"> Partner Transfer Rate</t>
  </si>
  <si>
    <t>Quote Currency</t>
  </si>
  <si>
    <t>Partner Amount (Monthly)</t>
  </si>
  <si>
    <t xml:space="preserve">Pre-Sales :   </t>
  </si>
  <si>
    <t>Billing Frequency</t>
  </si>
  <si>
    <t>Total Recurring Charges [ I ]</t>
  </si>
  <si>
    <t>Capex
(One Time)</t>
  </si>
  <si>
    <t>Total Device Cost</t>
  </si>
  <si>
    <t>Technical Assumption &amp; Pre requisites -</t>
  </si>
  <si>
    <t>Intrusion Detection</t>
  </si>
  <si>
    <t>Zone Monitoring</t>
  </si>
  <si>
    <t>Camera Sabotage</t>
  </si>
  <si>
    <t>Activity Detection</t>
  </si>
  <si>
    <t>Trespassing</t>
  </si>
  <si>
    <t>Perimeter Fence Jumping</t>
  </si>
  <si>
    <t>Double Line Crossing</t>
  </si>
  <si>
    <t>Loitering</t>
  </si>
  <si>
    <t>Overcrowding</t>
  </si>
  <si>
    <t>People Counting</t>
  </si>
  <si>
    <t>Missing Staff</t>
  </si>
  <si>
    <t>Occupancy Statistics</t>
  </si>
  <si>
    <t>Queue Management</t>
  </si>
  <si>
    <t>Heatmap</t>
  </si>
  <si>
    <t>Person of Interest (Appearance Search)</t>
  </si>
  <si>
    <t>ANPR</t>
  </si>
  <si>
    <t>Automatic Number Plate Recognition</t>
  </si>
  <si>
    <t>Facial Recognition (with Up to 50 POI registration)</t>
  </si>
  <si>
    <t>Total Recurring Charges [ III ]</t>
  </si>
  <si>
    <t>Monthly Subscription Charges [ I ]</t>
  </si>
  <si>
    <t>Monthly Subscription Charges [ III ]</t>
  </si>
  <si>
    <t>Total Annual Recurring Amount [ I + III ]</t>
  </si>
  <si>
    <t>Plus applicable taxes</t>
  </si>
  <si>
    <t>4 Days - Total 7 Days</t>
  </si>
  <si>
    <t>27 Days - Total 30 Days</t>
  </si>
  <si>
    <t>87 Days - Total 90 Days</t>
  </si>
  <si>
    <t>177 Days - Total 180 Days</t>
  </si>
  <si>
    <t>362 Days - Total 365 Days</t>
  </si>
  <si>
    <t>Partner Margin (On Devices) %</t>
  </si>
  <si>
    <t>Connect Cloud
(Platform Fee - Base License)</t>
  </si>
  <si>
    <t xml:space="preserve">
- Cloud VMS with Live &amp; Playback
- 3 Days Cloud Backup (8 fps, SD- 640*480P, H.265)
- Admin Panel for device/user management
- 1x Core - Desktop application
- 5 x Web View access 
- 5 x Mobile App access (Android &amp; iOS)
- Device Health Check (Cameras/NVRs/HDD/SD Card etc.)
- Reports &amp; Dashboard
- Logs &amp; Audit Trail
</t>
  </si>
  <si>
    <t xml:space="preserve">Total Billing Amount [ I + II + III + IV ] </t>
  </si>
  <si>
    <t>Prices are exclusive of applicable taxes.</t>
  </si>
  <si>
    <t>Minimum contract period/Lock In - 12 Months</t>
  </si>
  <si>
    <t>Billing Details : Order to be Favour of  XcellHost Cloud Services Pvt Ltd</t>
  </si>
  <si>
    <t>Payment to be made yearly in advance. </t>
  </si>
  <si>
    <t>In the case of contract termination, before the lock in period, a penalty of 3 months will be levied at the original non discounted rate. </t>
  </si>
  <si>
    <t>Quotation No : XLIN/</t>
  </si>
  <si>
    <t xml:space="preserve"> per user</t>
  </si>
  <si>
    <t>Cloud Storage Plans</t>
  </si>
  <si>
    <t>Core Desktop Application License</t>
  </si>
  <si>
    <t>Web User License</t>
  </si>
  <si>
    <t>Mobile User License</t>
  </si>
  <si>
    <t>per camera</t>
  </si>
  <si>
    <t>Total One Time Device Cost [ II ]</t>
  </si>
  <si>
    <t>One Time Setup &amp; Implementation Cost [ IV ]</t>
  </si>
  <si>
    <t>AI Features  [ III ]</t>
  </si>
  <si>
    <t>Unit Name- MUMBAI - 20 Cameras</t>
  </si>
  <si>
    <t>INR</t>
  </si>
  <si>
    <t xml:space="preserve">Customer  Rate 
</t>
  </si>
  <si>
    <t>Cloud VMS [ I ]</t>
  </si>
  <si>
    <t xml:space="preserve">Platform Add Ons </t>
  </si>
  <si>
    <t>Cloud Gateway Link Device</t>
  </si>
  <si>
    <t xml:space="preserve">b. Storage Space Assumption - ~5GB Per Day Per Camera with above bandwidth, resolution, compression &amp; frame rate assumption. Considering ~30% motion in the scene. </t>
  </si>
  <si>
    <t>d. Cloud gateway is required to establish TLS1.3 secured connection between each site and Cloud. Gateway will be installed at the site on the same CCTV LAN Network.</t>
  </si>
  <si>
    <t>e.  1 No of Cloud Gateway is required to connect to upto 16 cameras at each site. In the case of more than 16 cameras, appropriate number of gateways to be installed. </t>
  </si>
  <si>
    <t>f.  Platform Uptime Assurance - 98%</t>
  </si>
  <si>
    <t xml:space="preserve">Security Essentials AI </t>
  </si>
  <si>
    <t>Vehicle of Interest (Color &amp; Type Search)</t>
  </si>
  <si>
    <t>Facial Recognition</t>
  </si>
  <si>
    <t xml:space="preserve">Investigation Advanced AI </t>
  </si>
  <si>
    <t>Smoke &amp; Fire Detection</t>
  </si>
  <si>
    <t>PPE/Safety Kit Detection</t>
  </si>
  <si>
    <t>Cloud Storage Plan
Cloud Backup – 3 days built in the base package
(8 fps, SD- 640*480P, H.265)</t>
  </si>
  <si>
    <t>Hardware Devices [II]</t>
  </si>
  <si>
    <t xml:space="preserve">Business Effciency &amp; Security Advanced AI </t>
  </si>
  <si>
    <t>Safety &amp; Hazard Advanced AI</t>
  </si>
  <si>
    <t>Total One Time Cost [ II ]</t>
  </si>
  <si>
    <t xml:space="preserve">c. For 100 Cameras = Estimated storage could be ~ 500 GB per day. This is purely an estimate and not guaranteed. Therefore, we recommend buying the storage pack of appropriate size so as to provide you with an option to record as per your choice and   requirements. </t>
  </si>
  <si>
    <t>plus applicable taxes</t>
  </si>
  <si>
    <t>F.  Platform uptime assurance - 98%</t>
  </si>
  <si>
    <t>E.  1 No of Cloud Gateway is required to connect to upto 16 cameras at each site. In the case of more than 16 cameras, appropriate number of gateways to be installed. </t>
  </si>
  <si>
    <t>D. Cloud gateway is required to establish TLS1.3 secured connection between each site and Cloud. Gateway will be installed at the site on the same CCTV LAN Network.</t>
  </si>
  <si>
    <t xml:space="preserve">C. For 100 Cameras = Estimated storage could be ~ 500GB per day. This is purely an estimate and not guaranteed. Therefore, we recommend buying the storage pack of appropriate size so as to provide you with an option to record as per your choice and requirements. </t>
  </si>
  <si>
    <t xml:space="preserve">B. Storage Space Assumption - ~5GB Per Day Per Camera with above bandwidth, resolution, compression &amp; frame rate assumption. Considering ~30% motion in the scene. </t>
  </si>
  <si>
    <t>A. Bandwidth Assumption - Min 512Kbps per camera for cloud backup of VGA/10fps/H.265 stream.</t>
  </si>
  <si>
    <t>Minimum contract period/Lock In - 48 Months</t>
  </si>
  <si>
    <t xml:space="preserve">Total Billing Amount [ Device + AMC + One Time Setup ] </t>
  </si>
  <si>
    <t>One Time Setup &amp; Implementation Cost</t>
  </si>
  <si>
    <t xml:space="preserve">Annually Subscription Charges </t>
  </si>
  <si>
    <t>- 1 year Cyber Security Pack for AI-Box
- Latest Upgrades of AI Analytics
- Access to new AI Analytics
- Latest features/ cyber security updates OTA
- Secure Mobile and Web access
- End-to-end data protection and encryption support
- TOTP, SSO support
- Secure VPN/ P2P support
- Organizational firewall compatibility support</t>
  </si>
  <si>
    <t>per 16 credits</t>
  </si>
  <si>
    <t>- 1 year Cyber Security Pack for Stream
- Latest features/ cyber security updates OTA
- Secure Mobile and Web access
- End-to-end data protection and encryption support
- TOTP, SSO support
- Secure VPN/ P2P support
- Organizational firewall compatibility support</t>
  </si>
  <si>
    <t>Partner Amount (Annually)</t>
  </si>
  <si>
    <t>Customer Amount
(Annually)</t>
  </si>
  <si>
    <t>Annual Maintenance Cost [ AMC ] After 3 Years</t>
  </si>
  <si>
    <t>Total One Time Device Cost</t>
  </si>
  <si>
    <t>- AI Licenses for on-prem AI-Box
- License which can be used to enable any AI alerts/ analytics
- Refer to the list of AI Analytics for per channel credit utilization</t>
  </si>
  <si>
    <t>Devices</t>
  </si>
  <si>
    <t>Vehicle of Interest ( Color &amp; Type Search)</t>
  </si>
  <si>
    <t>Investigation
Advanced AI</t>
  </si>
  <si>
    <t>Smoke and Fire Detection</t>
  </si>
  <si>
    <t>PPE/Safety kit Detection</t>
  </si>
  <si>
    <t>Safety and Hazard
Advanced AI</t>
  </si>
  <si>
    <t>Business Effciency and Security 
Advanced AI</t>
  </si>
  <si>
    <t>Security Essential AI</t>
  </si>
  <si>
    <t>Credit Utilization
per Channel</t>
  </si>
  <si>
    <t>Description</t>
  </si>
  <si>
    <t>Item</t>
  </si>
  <si>
    <t>On- Premise</t>
  </si>
  <si>
    <t xml:space="preserve">XcellCamCloud |  Video Surveillance as a Service (VSaaS) On Prem </t>
  </si>
  <si>
    <t>XcellCamCloud | Video Surveillance as a Service (VSaaS) Cloud</t>
  </si>
  <si>
    <r>
      <t xml:space="preserve">Stream OS
[ 32 | 64 | 128 | 256 ] </t>
    </r>
    <r>
      <rPr>
        <b/>
        <sz val="11"/>
        <color rgb="FFFF0000"/>
        <rFont val="Calibri"/>
        <family val="2"/>
      </rPr>
      <t>Capex (One Time)</t>
    </r>
  </si>
  <si>
    <r>
      <t xml:space="preserve">AI-Box </t>
    </r>
    <r>
      <rPr>
        <b/>
        <sz val="11"/>
        <color rgb="FFFF0000"/>
        <rFont val="Calibri"/>
        <family val="2"/>
        <scheme val="minor"/>
      </rPr>
      <t>Capex (One Time)</t>
    </r>
  </si>
  <si>
    <r>
      <t xml:space="preserve">AI Licenses </t>
    </r>
    <r>
      <rPr>
        <b/>
        <sz val="11"/>
        <color rgb="FFFF0000"/>
        <rFont val="Calibri"/>
        <family val="2"/>
        <scheme val="minor"/>
      </rPr>
      <t>Capex (One Time)</t>
    </r>
  </si>
  <si>
    <t>Customer 
Amount</t>
  </si>
  <si>
    <t>Unit Rate</t>
  </si>
  <si>
    <t>Partner 
Amount</t>
  </si>
  <si>
    <t>Cyber + Pack (Stream OS)</t>
  </si>
  <si>
    <t>Cyber + Pack (AI-Box &amp; AI License)</t>
  </si>
  <si>
    <t>a. Bandwidth Assumption - Min 512 Kbps per camera for cloud backup of VGA/10fps/H.265 stream.</t>
  </si>
  <si>
    <r>
      <t xml:space="preserve">- Cloud Gateway Edge Device
- Creates secured network tunnel with Cloud. 
- Connects 8/16 channels in local network.
- </t>
    </r>
    <r>
      <rPr>
        <b/>
        <sz val="11"/>
        <color rgb="FFFF0000"/>
        <rFont val="Calibri"/>
        <family val="2"/>
      </rPr>
      <t>3 year warranty</t>
    </r>
  </si>
  <si>
    <t>- Connects up to 32/64/128/256 channels
- Cloud VMS with Live &amp; Playback
- Admin Panel for device/user management
- 1 x Core Lite - Desktop application
- 1x Core Multi - Desktop application
- 5 x Web View access
- 5 x Mobile App access (Android &amp; iOS)
- Device Health Check (Cameras/NVRs/HDD/SD Card etc.)
- Reports &amp; Dashboard
- Logs &amp; Audit Trail
- Zygal Cyber+ Pack for 3 years included</t>
  </si>
  <si>
    <r>
      <t xml:space="preserve">- Enables on-prem AI Analytics
</t>
    </r>
    <r>
      <rPr>
        <b/>
        <sz val="11"/>
        <color theme="4" tint="-0.249977111117893"/>
        <rFont val="Calibri"/>
        <family val="2"/>
      </rPr>
      <t>- 3 year warranty</t>
    </r>
    <r>
      <rPr>
        <b/>
        <sz val="11"/>
        <color theme="8" tint="-0.249977111117893"/>
        <rFont val="Calibri"/>
        <family val="2"/>
      </rPr>
      <t xml:space="preserve">
- Zygal Cyber+ Pack for 3 years included</t>
    </r>
  </si>
  <si>
    <t xml:space="preserve">
Customer Rate
</t>
  </si>
  <si>
    <t>365 days</t>
  </si>
  <si>
    <t>180 days</t>
  </si>
  <si>
    <t>90 days</t>
  </si>
  <si>
    <t>60 days</t>
  </si>
  <si>
    <t>Static IP</t>
  </si>
  <si>
    <t>Scheduled</t>
  </si>
  <si>
    <t>Full HD (1080p)</t>
  </si>
  <si>
    <t>30 days</t>
  </si>
  <si>
    <t>None</t>
  </si>
  <si>
    <t>Lease Line</t>
  </si>
  <si>
    <t>Motion-Based</t>
  </si>
  <si>
    <t>Standard HD (720p)</t>
  </si>
  <si>
    <t>7 days</t>
  </si>
  <si>
    <t>Dual ISP</t>
  </si>
  <si>
    <t>On-Demand access</t>
  </si>
  <si>
    <t>Broadband</t>
  </si>
  <si>
    <t xml:space="preserve">Continuous </t>
  </si>
  <si>
    <t>SD (480p)</t>
  </si>
  <si>
    <t>3 days</t>
  </si>
  <si>
    <t>4G/5G</t>
  </si>
  <si>
    <t>Continuous</t>
  </si>
  <si>
    <t>4G LTE</t>
  </si>
  <si>
    <t xml:space="preserve"> </t>
  </si>
  <si>
    <t>Missing Staff Alert</t>
  </si>
  <si>
    <t>Heatmap Analysis</t>
  </si>
  <si>
    <t>People Counting &amp; Occupancy Management</t>
  </si>
  <si>
    <t>PPE Detection</t>
  </si>
  <si>
    <t>Safety &amp; Operations</t>
  </si>
  <si>
    <t>Vehicle of Interest Tracking</t>
  </si>
  <si>
    <t>Person of Interest Tracking</t>
  </si>
  <si>
    <t>License Plate Recognition</t>
  </si>
  <si>
    <t>Face Recognition</t>
  </si>
  <si>
    <t>Line Crossing &amp; Double Line Crossing</t>
  </si>
  <si>
    <t>Loitering Detection</t>
  </si>
  <si>
    <t>Security &amp; Surveillance</t>
  </si>
  <si>
    <t>Required AI Licenses (Count of Cameras)</t>
  </si>
  <si>
    <t>Total Number of Cameras</t>
  </si>
  <si>
    <t>Site Name</t>
  </si>
  <si>
    <t>&lt;add more sites&gt;</t>
  </si>
  <si>
    <t>Site 11</t>
  </si>
  <si>
    <t>Site 10</t>
  </si>
  <si>
    <t>Site 9</t>
  </si>
  <si>
    <t>Site 8</t>
  </si>
  <si>
    <t>Site 7</t>
  </si>
  <si>
    <t>Site 6</t>
  </si>
  <si>
    <t>Site 5</t>
  </si>
  <si>
    <t>Site 4</t>
  </si>
  <si>
    <t>Site 3</t>
  </si>
  <si>
    <t>Site 2</t>
  </si>
  <si>
    <t>Site 1</t>
  </si>
  <si>
    <t>Site wise details</t>
  </si>
  <si>
    <t>Recording Preference</t>
  </si>
  <si>
    <t>FPS</t>
  </si>
  <si>
    <t>Resolution</t>
  </si>
  <si>
    <r>
      <t xml:space="preserve">Recording Quality </t>
    </r>
    <r>
      <rPr>
        <sz val="9"/>
        <color rgb="FF000000"/>
        <rFont val="Aptos"/>
        <family val="2"/>
      </rPr>
      <t>(default - 8fps, SD - 640x480p, H.265)</t>
    </r>
  </si>
  <si>
    <t>Backup - Number  of Days</t>
  </si>
  <si>
    <t>Customer Requirement Form</t>
  </si>
  <si>
    <t>Backup - Number of Cameras</t>
  </si>
  <si>
    <t>Recording &amp; Retention</t>
  </si>
  <si>
    <t>Backup Connectivity</t>
  </si>
  <si>
    <t>Preferred Method of Video Streaming</t>
  </si>
  <si>
    <t>Type of Connectivity</t>
  </si>
  <si>
    <t>Internet Bandwidth - download speed at center</t>
  </si>
  <si>
    <t>Internet Bandwidth - upload speed at site</t>
  </si>
  <si>
    <t>Network &amp; Bandwidth</t>
  </si>
  <si>
    <t>AI Analytics (Cloud / On-prem)</t>
  </si>
  <si>
    <t>Data Storage (Cloud / On-prem)</t>
  </si>
  <si>
    <t>Preferred Implementation</t>
  </si>
  <si>
    <t>Edge Machine Specs for Zygal connectOS</t>
  </si>
  <si>
    <t>Server Specs</t>
  </si>
  <si>
    <t>Subscription</t>
  </si>
  <si>
    <t>Zygal connectOS | 32 Channels</t>
  </si>
  <si>
    <t>(2 MP at 30 FPS)</t>
  </si>
  <si>
    <t>&gt; RAM: 8 GB</t>
  </si>
  <si>
    <t>&gt; Processor: 8 Core at 2.5GHz or higher</t>
  </si>
  <si>
    <t>&gt; Bandwidth/Port: 1 GBPS Ethernet Post or higher</t>
  </si>
  <si>
    <t>&gt; Storage: As per backup requirement</t>
  </si>
  <si>
    <t>&gt; OS Disk: NVME Support (128GB storage space)</t>
  </si>
  <si>
    <t>Capex</t>
  </si>
  <si>
    <t>(One Time Per Unit)</t>
  </si>
  <si>
    <t>Zygal connectOS | 64 Channels</t>
  </si>
  <si>
    <t>&gt; RAM: 16 GB</t>
  </si>
  <si>
    <t>&gt; Processor: 12 Core at 2.5GHz or higher</t>
  </si>
  <si>
    <t>Zygal connectOS | 128 Channels</t>
  </si>
  <si>
    <t>&gt; RAM: 32 GB</t>
  </si>
  <si>
    <t>&gt; Processor: 24 Core at 2.5GHz or higher</t>
  </si>
  <si>
    <t>&gt; Bandwidth/Port: 2.5 GBPS Ethernet Post or higher</t>
  </si>
  <si>
    <t>Zygal connectOS | 256 Channels</t>
  </si>
  <si>
    <t>&gt; RAM: 64 GB</t>
  </si>
  <si>
    <t>&gt; Processor: 32 Core at 2.5GHz or higher</t>
  </si>
  <si>
    <t>&gt; Bandwidth/Port: 3 GBPS Ethernet Post or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</si>
</sst>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 [$₹-4009]\ * #,##0.00_ ;_ [$₹-4009]\ * \-#,##0.00_ ;_ [$₹-4009]\ * &quot;-&quot;??_ ;_ @_ "/>
    <numFmt numFmtId="166" formatCode="0.000"/>
    <numFmt numFmtId="167" formatCode="0.0"/>
  </numFmts>
  <fonts count="49" x14ac:knownFonts="1">
    <font>
      <sz val="11"/>
      <color theme="1"/>
      <name val="Calibri"/>
      <family val="2"/>
      <scheme val="minor"/>
    </font>
    <font>
      <sz val="10"/>
      <name val="Arial"/>
      <family val="2"/>
    </font>
    <font>
      <sz val="11"/>
      <color theme="1"/>
      <name val="Calibri"/>
      <family val="2"/>
      <scheme val="minor"/>
    </font>
    <font>
      <sz val="11"/>
      <color rgb="FF00B0F0"/>
      <name val="Calibri"/>
      <family val="2"/>
      <scheme val="minor"/>
    </font>
    <font>
      <sz val="11"/>
      <name val="Calibri"/>
      <family val="2"/>
      <scheme val="minor"/>
    </font>
    <font>
      <b/>
      <sz val="11"/>
      <color rgb="FFC00000"/>
      <name val="Calibri"/>
      <family val="2"/>
      <scheme val="minor"/>
    </font>
    <font>
      <b/>
      <sz val="11"/>
      <color theme="1"/>
      <name val="Calibri"/>
      <family val="2"/>
      <scheme val="minor"/>
    </font>
    <font>
      <b/>
      <sz val="22"/>
      <color theme="1" tint="0.499984740745262"/>
      <name val="Calibri"/>
      <family val="2"/>
      <scheme val="minor"/>
    </font>
    <font>
      <b/>
      <sz val="14"/>
      <color theme="0"/>
      <name val="Calibri"/>
      <family val="2"/>
      <scheme val="minor"/>
    </font>
    <font>
      <b/>
      <sz val="11"/>
      <color rgb="FF002060"/>
      <name val="Calibri"/>
      <family val="2"/>
      <scheme val="minor"/>
    </font>
    <font>
      <b/>
      <sz val="11"/>
      <color theme="5" tint="-0.499984740745262"/>
      <name val="Calibri"/>
      <family val="2"/>
      <scheme val="minor"/>
    </font>
    <font>
      <sz val="11"/>
      <color theme="5" tint="-0.499984740745262"/>
      <name val="Calibri"/>
      <family val="2"/>
      <scheme val="minor"/>
    </font>
    <font>
      <sz val="11"/>
      <color rgb="FFFF0000"/>
      <name val="Calibri"/>
      <family val="2"/>
      <scheme val="minor"/>
    </font>
    <font>
      <b/>
      <sz val="14"/>
      <color rgb="FF002060"/>
      <name val="Calibri"/>
      <family val="2"/>
      <scheme val="minor"/>
    </font>
    <font>
      <b/>
      <sz val="11"/>
      <color theme="8" tint="-0.249977111117893"/>
      <name val="Calibri"/>
      <family val="2"/>
      <scheme val="minor"/>
    </font>
    <font>
      <sz val="11"/>
      <color theme="8" tint="-0.249977111117893"/>
      <name val="Calibri"/>
      <family val="2"/>
      <scheme val="minor"/>
    </font>
    <font>
      <b/>
      <sz val="14"/>
      <color rgb="FFFF0000"/>
      <name val="Calibri"/>
      <family val="2"/>
      <scheme val="minor"/>
    </font>
    <font>
      <b/>
      <sz val="14"/>
      <color theme="4" tint="-0.249977111117893"/>
      <name val="Calibri"/>
      <family val="2"/>
      <scheme val="minor"/>
    </font>
    <font>
      <b/>
      <sz val="12"/>
      <color theme="0"/>
      <name val="Calibri"/>
      <family val="2"/>
      <scheme val="minor"/>
    </font>
    <font>
      <b/>
      <sz val="12"/>
      <color rgb="FF00B0F0"/>
      <name val="Calibri"/>
      <family val="2"/>
      <scheme val="minor"/>
    </font>
    <font>
      <sz val="12"/>
      <color rgb="FF002060"/>
      <name val="Calibri"/>
      <family val="2"/>
      <scheme val="minor"/>
    </font>
    <font>
      <sz val="12"/>
      <color rgb="FF00B0F0"/>
      <name val="Calibri"/>
      <family val="2"/>
      <scheme val="minor"/>
    </font>
    <font>
      <b/>
      <sz val="12"/>
      <color theme="8" tint="-0.249977111117893"/>
      <name val="Calibri"/>
      <family val="2"/>
      <scheme val="minor"/>
    </font>
    <font>
      <b/>
      <sz val="12"/>
      <color theme="5" tint="-0.499984740745262"/>
      <name val="Calibri"/>
      <family val="2"/>
      <scheme val="minor"/>
    </font>
    <font>
      <b/>
      <sz val="14"/>
      <color theme="5" tint="-0.499984740745262"/>
      <name val="Calibri"/>
      <family val="2"/>
      <scheme val="minor"/>
    </font>
    <font>
      <b/>
      <sz val="14"/>
      <color rgb="FFC00000"/>
      <name val="Calibri"/>
      <family val="2"/>
      <scheme val="minor"/>
    </font>
    <font>
      <b/>
      <sz val="18"/>
      <color theme="0"/>
      <name val="Calibri"/>
      <family val="2"/>
      <scheme val="minor"/>
    </font>
    <font>
      <b/>
      <sz val="28"/>
      <color rgb="FF0070C0"/>
      <name val="Calibri"/>
      <family val="2"/>
      <scheme val="minor"/>
    </font>
    <font>
      <b/>
      <sz val="11"/>
      <color theme="0"/>
      <name val="Calibri"/>
      <family val="2"/>
      <scheme val="minor"/>
    </font>
    <font>
      <b/>
      <sz val="11"/>
      <color rgb="FFC00000"/>
      <name val="Calibri"/>
      <family val="2"/>
    </font>
    <font>
      <b/>
      <sz val="11"/>
      <color theme="8" tint="-0.249977111117893"/>
      <name val="Calibri"/>
      <family val="2"/>
    </font>
    <font>
      <b/>
      <sz val="11"/>
      <color rgb="FFFF0000"/>
      <name val="Calibri"/>
      <family val="2"/>
      <scheme val="minor"/>
    </font>
    <font>
      <b/>
      <sz val="11"/>
      <color rgb="FF00B0F0"/>
      <name val="Calibri"/>
      <family val="2"/>
      <scheme val="minor"/>
    </font>
    <font>
      <b/>
      <sz val="11"/>
      <color rgb="FFFF0000"/>
      <name val="Calibri"/>
      <family val="2"/>
    </font>
    <font>
      <b/>
      <u/>
      <sz val="11"/>
      <name val="Calibri"/>
      <family val="2"/>
      <scheme val="minor"/>
    </font>
    <font>
      <b/>
      <sz val="12"/>
      <color theme="4"/>
      <name val="Calibri"/>
      <family val="2"/>
      <scheme val="minor"/>
    </font>
    <font>
      <b/>
      <sz val="18"/>
      <color theme="0" tint="-0.34998626667073579"/>
      <name val="Calibri"/>
      <family val="2"/>
      <scheme val="minor"/>
    </font>
    <font>
      <b/>
      <sz val="10"/>
      <color rgb="FF000000"/>
      <name val="Calibri"/>
      <family val="2"/>
    </font>
    <font>
      <b/>
      <sz val="12"/>
      <color rgb="FF000000"/>
      <name val="Calibri"/>
      <family val="2"/>
    </font>
    <font>
      <b/>
      <sz val="16"/>
      <color theme="1"/>
      <name val="Calibri"/>
      <family val="2"/>
      <scheme val="minor"/>
    </font>
    <font>
      <b/>
      <sz val="11"/>
      <color theme="4" tint="-0.249977111117893"/>
      <name val="Calibri"/>
      <family val="2"/>
    </font>
    <font>
      <sz val="11"/>
      <color rgb="FF000000"/>
      <name val="Aptos"/>
      <family val="2"/>
    </font>
    <font>
      <b/>
      <sz val="11"/>
      <color rgb="FF000000"/>
      <name val="Aptos"/>
      <family val="2"/>
    </font>
    <font>
      <sz val="11"/>
      <color theme="0" tint="-0.499984740745262"/>
      <name val="Calibri"/>
      <family val="2"/>
      <scheme val="minor"/>
    </font>
    <font>
      <b/>
      <sz val="11"/>
      <color theme="1"/>
      <name val="Aptos"/>
      <family val="2"/>
    </font>
    <font>
      <b/>
      <sz val="20"/>
      <color rgb="FF000000"/>
      <name val="Aptos"/>
      <family val="2"/>
    </font>
    <font>
      <sz val="9"/>
      <color rgb="FF000000"/>
      <name val="Aptos"/>
      <family val="2"/>
    </font>
    <font>
      <b/>
      <sz val="14"/>
      <color rgb="FF000000"/>
      <name val="Calibri"/>
      <family val="2"/>
    </font>
    <font>
      <sz val="12"/>
      <color rgb="FF000000"/>
      <name val="Aptos"/>
      <family val="2"/>
    </font>
  </fonts>
  <fills count="1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EDFAF6"/>
        <bgColor indexed="64"/>
      </patternFill>
    </fill>
    <fill>
      <patternFill patternType="solid">
        <fgColor rgb="FFD9F4ED"/>
        <bgColor indexed="64"/>
      </patternFill>
    </fill>
    <fill>
      <patternFill patternType="solid">
        <fgColor rgb="FF86E3CE"/>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D9D9D9"/>
        <bgColor indexed="64"/>
      </patternFill>
    </fill>
  </fills>
  <borders count="73">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bottom/>
      <diagonal/>
    </border>
    <border>
      <left/>
      <right style="thin">
        <color theme="1"/>
      </right>
      <top/>
      <bottom/>
      <diagonal/>
    </border>
    <border>
      <left/>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theme="1"/>
      </right>
      <top style="thin">
        <color indexed="64"/>
      </top>
      <bottom/>
      <diagonal/>
    </border>
    <border>
      <left style="thin">
        <color theme="1"/>
      </left>
      <right/>
      <top style="thin">
        <color indexed="64"/>
      </top>
      <bottom/>
      <diagonal/>
    </border>
    <border>
      <left/>
      <right style="thin">
        <color indexed="64"/>
      </right>
      <top style="thin">
        <color indexed="64"/>
      </top>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thin">
        <color theme="1"/>
      </top>
      <bottom style="thin">
        <color theme="1"/>
      </bottom>
      <diagonal/>
    </border>
    <border>
      <left style="thin">
        <color theme="1"/>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right style="thin">
        <color indexed="64"/>
      </right>
      <top style="thin">
        <color theme="1"/>
      </top>
      <bottom style="thin">
        <color theme="1"/>
      </bottom>
      <diagonal/>
    </border>
    <border>
      <left style="thin">
        <color indexed="64"/>
      </left>
      <right/>
      <top style="thin">
        <color theme="1"/>
      </top>
      <bottom/>
      <diagonal/>
    </border>
    <border>
      <left style="thin">
        <color theme="1"/>
      </left>
      <right style="thin">
        <color theme="1"/>
      </right>
      <top/>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theme="1"/>
      </right>
      <top style="thin">
        <color theme="1"/>
      </top>
      <bottom/>
      <diagonal/>
    </border>
    <border>
      <left style="thin">
        <color theme="1"/>
      </left>
      <right style="thin">
        <color indexed="64"/>
      </right>
      <top style="thin">
        <color theme="1"/>
      </top>
      <bottom/>
      <diagonal/>
    </border>
    <border>
      <left style="thin">
        <color theme="1"/>
      </left>
      <right style="thin">
        <color indexed="64"/>
      </right>
      <top/>
      <bottom/>
      <diagonal/>
    </border>
    <border>
      <left style="thin">
        <color theme="1"/>
      </left>
      <right style="thin">
        <color indexed="64"/>
      </right>
      <top/>
      <bottom style="thin">
        <color theme="1"/>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5">
    <xf numFmtId="0" fontId="0" fillId="0" borderId="0"/>
    <xf numFmtId="0" fontId="1" fillId="0" borderId="0"/>
    <xf numFmtId="164" fontId="2" fillId="0" borderId="0" applyFont="0" applyFill="0" applyBorder="0" applyAlignment="0" applyProtection="0"/>
    <xf numFmtId="0" fontId="1" fillId="0" borderId="0"/>
    <xf numFmtId="43" fontId="2" fillId="0" borderId="0" applyFont="0" applyFill="0" applyBorder="0" applyAlignment="0" applyProtection="0"/>
  </cellStyleXfs>
  <cellXfs count="361">
    <xf numFmtId="0" fontId="0" fillId="0" borderId="0" xfId="0"/>
    <xf numFmtId="0" fontId="0" fillId="3" borderId="0" xfId="0" applyFill="1"/>
    <xf numFmtId="0" fontId="4" fillId="7" borderId="12" xfId="1" applyFont="1" applyFill="1" applyBorder="1" applyAlignment="1">
      <alignment horizontal="center" vertical="center"/>
    </xf>
    <xf numFmtId="165" fontId="15" fillId="7" borderId="16" xfId="1" applyNumberFormat="1" applyFont="1" applyFill="1" applyBorder="1" applyAlignment="1">
      <alignment horizontal="center" wrapText="1"/>
    </xf>
    <xf numFmtId="0" fontId="4" fillId="7" borderId="14" xfId="1" applyFont="1" applyFill="1" applyBorder="1" applyAlignment="1">
      <alignment horizontal="center" vertical="center"/>
    </xf>
    <xf numFmtId="0" fontId="12" fillId="7" borderId="20" xfId="1" applyFont="1" applyFill="1" applyBorder="1" applyAlignment="1">
      <alignment horizontal="center" vertical="center"/>
    </xf>
    <xf numFmtId="0" fontId="4" fillId="7" borderId="20" xfId="1" applyFont="1" applyFill="1" applyBorder="1" applyAlignment="1">
      <alignment horizontal="center" vertical="center"/>
    </xf>
    <xf numFmtId="1" fontId="12" fillId="7" borderId="20" xfId="1" applyNumberFormat="1" applyFont="1" applyFill="1" applyBorder="1" applyAlignment="1">
      <alignment horizontal="center" vertical="center" wrapText="1"/>
    </xf>
    <xf numFmtId="2" fontId="3" fillId="7" borderId="20" xfId="1" applyNumberFormat="1" applyFont="1" applyFill="1" applyBorder="1" applyAlignment="1">
      <alignment horizontal="center" vertical="center" wrapText="1"/>
    </xf>
    <xf numFmtId="1" fontId="3" fillId="7" borderId="20" xfId="1" applyNumberFormat="1" applyFont="1" applyFill="1" applyBorder="1" applyAlignment="1">
      <alignment horizontal="center" vertical="center" wrapText="1"/>
    </xf>
    <xf numFmtId="1" fontId="4" fillId="7" borderId="14" xfId="1" applyNumberFormat="1" applyFont="1" applyFill="1" applyBorder="1" applyAlignment="1">
      <alignment horizontal="center" vertical="center"/>
    </xf>
    <xf numFmtId="0" fontId="4" fillId="7" borderId="1" xfId="1" applyFont="1" applyFill="1" applyBorder="1" applyAlignment="1">
      <alignment horizontal="center" vertical="center"/>
    </xf>
    <xf numFmtId="1" fontId="4" fillId="7" borderId="1" xfId="1" applyNumberFormat="1" applyFont="1" applyFill="1" applyBorder="1" applyAlignment="1">
      <alignment horizontal="center" vertical="center"/>
    </xf>
    <xf numFmtId="0" fontId="10" fillId="7" borderId="0" xfId="1" applyFont="1" applyFill="1" applyAlignment="1">
      <alignment vertical="center"/>
    </xf>
    <xf numFmtId="0" fontId="10" fillId="7" borderId="4" xfId="1" applyFont="1" applyFill="1" applyBorder="1" applyAlignment="1">
      <alignment vertical="center"/>
    </xf>
    <xf numFmtId="0" fontId="8" fillId="7" borderId="4" xfId="0" applyFont="1" applyFill="1" applyBorder="1" applyAlignment="1">
      <alignment horizontal="left" vertical="center"/>
    </xf>
    <xf numFmtId="164" fontId="4" fillId="7" borderId="1" xfId="2" applyFont="1" applyFill="1" applyBorder="1" applyAlignment="1">
      <alignment horizontal="center" vertical="center"/>
    </xf>
    <xf numFmtId="0" fontId="4" fillId="7" borderId="1" xfId="2" applyNumberFormat="1" applyFont="1" applyFill="1" applyBorder="1" applyAlignment="1">
      <alignment horizontal="center" vertical="center"/>
    </xf>
    <xf numFmtId="0" fontId="11" fillId="7" borderId="1" xfId="0" applyFont="1" applyFill="1" applyBorder="1" applyAlignment="1">
      <alignment horizontal="left" vertical="center"/>
    </xf>
    <xf numFmtId="0" fontId="11" fillId="7" borderId="1" xfId="2" applyNumberFormat="1" applyFont="1" applyFill="1" applyBorder="1" applyAlignment="1">
      <alignment horizontal="center" vertical="center"/>
    </xf>
    <xf numFmtId="0" fontId="17" fillId="7" borderId="1" xfId="0" applyFont="1" applyFill="1" applyBorder="1" applyAlignment="1">
      <alignment horizontal="left" vertical="center"/>
    </xf>
    <xf numFmtId="0" fontId="17" fillId="7" borderId="4" xfId="0" applyFont="1" applyFill="1" applyBorder="1" applyAlignment="1">
      <alignment horizontal="left" vertical="center"/>
    </xf>
    <xf numFmtId="0" fontId="18" fillId="4" borderId="1" xfId="1" applyFont="1" applyFill="1" applyBorder="1" applyAlignment="1">
      <alignment vertical="center"/>
    </xf>
    <xf numFmtId="0" fontId="18" fillId="4" borderId="1" xfId="1" applyFont="1" applyFill="1" applyBorder="1" applyAlignment="1">
      <alignment horizontal="center" vertical="center" wrapText="1"/>
    </xf>
    <xf numFmtId="0" fontId="19" fillId="4" borderId="1" xfId="1" applyFont="1" applyFill="1" applyBorder="1" applyAlignment="1">
      <alignment horizontal="center" vertical="center" wrapText="1"/>
    </xf>
    <xf numFmtId="0" fontId="17" fillId="7" borderId="38" xfId="0" applyFont="1" applyFill="1" applyBorder="1" applyAlignment="1">
      <alignment horizontal="left" vertical="center"/>
    </xf>
    <xf numFmtId="0" fontId="6" fillId="7" borderId="38" xfId="0" applyFont="1" applyFill="1" applyBorder="1" applyAlignment="1">
      <alignment vertical="center"/>
    </xf>
    <xf numFmtId="0" fontId="18" fillId="4" borderId="39" xfId="1" applyFont="1" applyFill="1" applyBorder="1" applyAlignment="1">
      <alignment vertical="center"/>
    </xf>
    <xf numFmtId="0" fontId="18" fillId="4" borderId="38" xfId="1" applyFont="1" applyFill="1" applyBorder="1" applyAlignment="1">
      <alignment horizontal="center" vertical="center" wrapText="1"/>
    </xf>
    <xf numFmtId="165" fontId="20" fillId="7" borderId="25" xfId="1" applyNumberFormat="1" applyFont="1" applyFill="1" applyBorder="1" applyAlignment="1">
      <alignment horizontal="center" wrapText="1"/>
    </xf>
    <xf numFmtId="0" fontId="22" fillId="7" borderId="40" xfId="1" applyFont="1" applyFill="1" applyBorder="1" applyAlignment="1">
      <alignment vertical="center"/>
    </xf>
    <xf numFmtId="164" fontId="25" fillId="7" borderId="0" xfId="0" applyNumberFormat="1" applyFont="1" applyFill="1" applyAlignment="1">
      <alignment horizontal="center" vertical="center"/>
    </xf>
    <xf numFmtId="0" fontId="26" fillId="4" borderId="39" xfId="1" applyFont="1" applyFill="1" applyBorder="1" applyAlignment="1">
      <alignment vertical="center"/>
    </xf>
    <xf numFmtId="0" fontId="25" fillId="7" borderId="24" xfId="0" applyFont="1" applyFill="1" applyBorder="1" applyAlignment="1">
      <alignment vertical="center"/>
    </xf>
    <xf numFmtId="1" fontId="4" fillId="7" borderId="12" xfId="1" applyNumberFormat="1" applyFont="1" applyFill="1" applyBorder="1" applyAlignment="1">
      <alignment horizontal="center" vertical="center"/>
    </xf>
    <xf numFmtId="1" fontId="4" fillId="7" borderId="20" xfId="1" applyNumberFormat="1" applyFont="1" applyFill="1" applyBorder="1" applyAlignment="1">
      <alignment horizontal="center" vertical="center"/>
    </xf>
    <xf numFmtId="165" fontId="15" fillId="7" borderId="34" xfId="1" applyNumberFormat="1" applyFont="1" applyFill="1" applyBorder="1" applyAlignment="1">
      <alignment horizontal="center"/>
    </xf>
    <xf numFmtId="0" fontId="4" fillId="7" borderId="15" xfId="1" applyFont="1" applyFill="1" applyBorder="1" applyAlignment="1">
      <alignment horizontal="center" vertical="center"/>
    </xf>
    <xf numFmtId="1" fontId="4" fillId="7" borderId="15" xfId="1" applyNumberFormat="1" applyFont="1" applyFill="1" applyBorder="1" applyAlignment="1">
      <alignment horizontal="center" vertical="center"/>
    </xf>
    <xf numFmtId="165" fontId="15" fillId="7" borderId="15" xfId="1" applyNumberFormat="1" applyFont="1" applyFill="1" applyBorder="1" applyAlignment="1">
      <alignment horizontal="center" wrapText="1"/>
    </xf>
    <xf numFmtId="165" fontId="15" fillId="7" borderId="17" xfId="1" applyNumberFormat="1" applyFont="1" applyFill="1" applyBorder="1" applyAlignment="1">
      <alignment horizontal="center" wrapText="1"/>
    </xf>
    <xf numFmtId="0" fontId="4" fillId="7" borderId="3" xfId="1" applyFont="1" applyFill="1" applyBorder="1" applyAlignment="1">
      <alignment horizontal="center" vertical="center"/>
    </xf>
    <xf numFmtId="0" fontId="5" fillId="7" borderId="19" xfId="1" applyFont="1" applyFill="1" applyBorder="1" applyAlignment="1">
      <alignment vertical="center"/>
    </xf>
    <xf numFmtId="0" fontId="12" fillId="7" borderId="20" xfId="1" applyFont="1" applyFill="1" applyBorder="1" applyAlignment="1">
      <alignment horizontal="center" vertical="center" wrapText="1"/>
    </xf>
    <xf numFmtId="1" fontId="3" fillId="7" borderId="20" xfId="1" applyNumberFormat="1" applyFont="1" applyFill="1" applyBorder="1" applyAlignment="1">
      <alignment horizontal="center" wrapText="1"/>
    </xf>
    <xf numFmtId="165" fontId="14" fillId="7" borderId="43" xfId="1" applyNumberFormat="1" applyFont="1" applyFill="1" applyBorder="1" applyAlignment="1">
      <alignment horizontal="left" vertical="center" wrapText="1"/>
    </xf>
    <xf numFmtId="0" fontId="18" fillId="4" borderId="24" xfId="1" applyFont="1" applyFill="1" applyBorder="1" applyAlignment="1">
      <alignment vertical="center"/>
    </xf>
    <xf numFmtId="0" fontId="18" fillId="4" borderId="25" xfId="1" applyFont="1" applyFill="1" applyBorder="1" applyAlignment="1">
      <alignment horizontal="center" vertical="center" wrapText="1"/>
    </xf>
    <xf numFmtId="0" fontId="0" fillId="0" borderId="0" xfId="0" applyAlignment="1">
      <alignment wrapText="1"/>
    </xf>
    <xf numFmtId="0" fontId="0" fillId="7" borderId="3" xfId="0" applyFill="1" applyBorder="1" applyAlignment="1">
      <alignment horizontal="left" vertical="center"/>
    </xf>
    <xf numFmtId="0" fontId="11" fillId="7" borderId="3" xfId="0" applyFont="1" applyFill="1" applyBorder="1" applyAlignment="1">
      <alignment horizontal="left" vertical="center"/>
    </xf>
    <xf numFmtId="0" fontId="18" fillId="4" borderId="0" xfId="1" applyFont="1" applyFill="1" applyAlignment="1">
      <alignment horizontal="center" vertical="center" wrapText="1"/>
    </xf>
    <xf numFmtId="0" fontId="19" fillId="4" borderId="0" xfId="1" applyFont="1" applyFill="1" applyAlignment="1">
      <alignment horizontal="center" vertical="center" wrapText="1"/>
    </xf>
    <xf numFmtId="0" fontId="20" fillId="7" borderId="0" xfId="0" applyFont="1" applyFill="1" applyAlignment="1">
      <alignment vertical="center"/>
    </xf>
    <xf numFmtId="0" fontId="21" fillId="7" borderId="0" xfId="0" applyFont="1" applyFill="1" applyAlignment="1">
      <alignment vertical="center"/>
    </xf>
    <xf numFmtId="167" fontId="12" fillId="7" borderId="15" xfId="1" applyNumberFormat="1" applyFont="1" applyFill="1" applyBorder="1" applyAlignment="1">
      <alignment horizontal="center" vertical="center" wrapText="1"/>
    </xf>
    <xf numFmtId="167" fontId="12" fillId="7" borderId="12" xfId="1" applyNumberFormat="1" applyFont="1" applyFill="1" applyBorder="1" applyAlignment="1">
      <alignment horizontal="center" vertical="center" wrapText="1"/>
    </xf>
    <xf numFmtId="1" fontId="12" fillId="7" borderId="12" xfId="1" applyNumberFormat="1" applyFont="1" applyFill="1" applyBorder="1" applyAlignment="1">
      <alignment horizontal="center" vertical="center" wrapText="1"/>
    </xf>
    <xf numFmtId="1" fontId="3" fillId="7" borderId="12" xfId="1" applyNumberFormat="1" applyFont="1" applyFill="1" applyBorder="1" applyAlignment="1">
      <alignment horizontal="center" vertical="center" wrapText="1"/>
    </xf>
    <xf numFmtId="1" fontId="3" fillId="7" borderId="15" xfId="1" applyNumberFormat="1" applyFont="1" applyFill="1" applyBorder="1" applyAlignment="1">
      <alignment horizontal="center" vertical="center" wrapText="1"/>
    </xf>
    <xf numFmtId="1" fontId="3" fillId="7" borderId="14" xfId="1" applyNumberFormat="1" applyFont="1" applyFill="1" applyBorder="1" applyAlignment="1">
      <alignment horizontal="center" vertical="center" wrapText="1"/>
    </xf>
    <xf numFmtId="1" fontId="3" fillId="7" borderId="1" xfId="1" applyNumberFormat="1" applyFont="1" applyFill="1" applyBorder="1" applyAlignment="1">
      <alignment horizontal="center" vertical="center" wrapText="1"/>
    </xf>
    <xf numFmtId="1" fontId="3" fillId="7" borderId="8" xfId="1" applyNumberFormat="1" applyFont="1" applyFill="1" applyBorder="1" applyAlignment="1">
      <alignment horizontal="center" vertical="center" wrapText="1"/>
    </xf>
    <xf numFmtId="1" fontId="3" fillId="7" borderId="2" xfId="1" applyNumberFormat="1" applyFont="1" applyFill="1" applyBorder="1" applyAlignment="1">
      <alignment horizontal="center" vertical="center" wrapText="1"/>
    </xf>
    <xf numFmtId="0" fontId="29" fillId="7" borderId="41" xfId="1" applyFont="1" applyFill="1" applyBorder="1" applyAlignment="1">
      <alignment vertical="center" wrapText="1"/>
    </xf>
    <xf numFmtId="0" fontId="12" fillId="7" borderId="12" xfId="1" applyFont="1" applyFill="1" applyBorder="1" applyAlignment="1">
      <alignment horizontal="center" vertical="center"/>
    </xf>
    <xf numFmtId="167" fontId="2" fillId="7" borderId="15" xfId="0" applyNumberFormat="1" applyFont="1" applyFill="1" applyBorder="1" applyAlignment="1">
      <alignment horizontal="center" vertical="center"/>
    </xf>
    <xf numFmtId="1" fontId="12" fillId="7" borderId="15" xfId="1" applyNumberFormat="1" applyFont="1" applyFill="1" applyBorder="1" applyAlignment="1">
      <alignment horizontal="center" vertical="center" wrapText="1"/>
    </xf>
    <xf numFmtId="0" fontId="30" fillId="7" borderId="13" xfId="0" quotePrefix="1" applyFont="1" applyFill="1" applyBorder="1" applyAlignment="1">
      <alignment horizontal="left" vertical="center" wrapText="1" readingOrder="1"/>
    </xf>
    <xf numFmtId="0" fontId="29" fillId="7" borderId="19" xfId="1" applyFont="1" applyFill="1" applyBorder="1" applyAlignment="1">
      <alignment vertical="center" wrapText="1"/>
    </xf>
    <xf numFmtId="167" fontId="2" fillId="7" borderId="20" xfId="0" applyNumberFormat="1" applyFont="1" applyFill="1" applyBorder="1" applyAlignment="1">
      <alignment horizontal="center" vertical="center"/>
    </xf>
    <xf numFmtId="0" fontId="30" fillId="7" borderId="43" xfId="0" quotePrefix="1" applyFont="1" applyFill="1" applyBorder="1" applyAlignment="1">
      <alignment horizontal="left" vertical="center" wrapText="1" readingOrder="1"/>
    </xf>
    <xf numFmtId="166" fontId="2" fillId="7" borderId="20" xfId="0" applyNumberFormat="1" applyFont="1" applyFill="1" applyBorder="1" applyAlignment="1">
      <alignment horizontal="center" vertical="center"/>
    </xf>
    <xf numFmtId="0" fontId="30" fillId="7" borderId="12" xfId="0" quotePrefix="1" applyFont="1" applyFill="1" applyBorder="1" applyAlignment="1">
      <alignment horizontal="left" vertical="center" wrapText="1" readingOrder="1"/>
    </xf>
    <xf numFmtId="166" fontId="2" fillId="7" borderId="12" xfId="0" applyNumberFormat="1" applyFont="1" applyFill="1" applyBorder="1" applyAlignment="1">
      <alignment horizontal="center" vertical="center"/>
    </xf>
    <xf numFmtId="0" fontId="30" fillId="7" borderId="15" xfId="0" quotePrefix="1" applyFont="1" applyFill="1" applyBorder="1" applyAlignment="1">
      <alignment horizontal="left" vertical="center" wrapText="1" readingOrder="1"/>
    </xf>
    <xf numFmtId="0" fontId="30" fillId="7" borderId="19" xfId="0" quotePrefix="1" applyFont="1" applyFill="1" applyBorder="1" applyAlignment="1">
      <alignment horizontal="left" vertical="center" wrapText="1" readingOrder="1"/>
    </xf>
    <xf numFmtId="166" fontId="2" fillId="7" borderId="0" xfId="0" applyNumberFormat="1" applyFont="1" applyFill="1" applyAlignment="1">
      <alignment horizontal="center"/>
    </xf>
    <xf numFmtId="0" fontId="30" fillId="7" borderId="17" xfId="0" quotePrefix="1" applyFont="1" applyFill="1" applyBorder="1" applyAlignment="1">
      <alignment vertical="center" wrapText="1" readingOrder="1"/>
    </xf>
    <xf numFmtId="0" fontId="12" fillId="7" borderId="14" xfId="1" applyFont="1" applyFill="1" applyBorder="1" applyAlignment="1">
      <alignment horizontal="center" vertical="center"/>
    </xf>
    <xf numFmtId="0" fontId="2" fillId="7" borderId="14" xfId="0" applyFont="1" applyFill="1" applyBorder="1" applyAlignment="1">
      <alignment horizontal="center" vertical="center"/>
    </xf>
    <xf numFmtId="0" fontId="30" fillId="7" borderId="12" xfId="0" quotePrefix="1" applyFont="1" applyFill="1" applyBorder="1" applyAlignment="1">
      <alignment vertical="center" wrapText="1" readingOrder="1"/>
    </xf>
    <xf numFmtId="0" fontId="2" fillId="7" borderId="1" xfId="0" applyFont="1" applyFill="1" applyBorder="1" applyAlignment="1">
      <alignment horizontal="center" vertical="center"/>
    </xf>
    <xf numFmtId="0" fontId="10" fillId="7" borderId="24" xfId="1" applyFont="1" applyFill="1" applyBorder="1" applyAlignment="1">
      <alignment vertical="center"/>
    </xf>
    <xf numFmtId="0" fontId="10" fillId="7" borderId="0" xfId="1" applyFont="1" applyFill="1" applyAlignment="1">
      <alignment horizontal="right" vertical="center"/>
    </xf>
    <xf numFmtId="0" fontId="31" fillId="7" borderId="0" xfId="1" applyFont="1" applyFill="1" applyAlignment="1">
      <alignment horizontal="center" vertical="center"/>
    </xf>
    <xf numFmtId="1" fontId="32" fillId="7" borderId="0" xfId="1" applyNumberFormat="1" applyFont="1" applyFill="1" applyAlignment="1">
      <alignment horizontal="right" vertical="center"/>
    </xf>
    <xf numFmtId="0" fontId="32" fillId="7" borderId="0" xfId="1" applyFont="1" applyFill="1" applyAlignment="1">
      <alignment horizontal="center" vertical="center"/>
    </xf>
    <xf numFmtId="165" fontId="15" fillId="7" borderId="25" xfId="1" applyNumberFormat="1" applyFont="1" applyFill="1" applyBorder="1" applyAlignment="1">
      <alignment horizontal="center" wrapText="1"/>
    </xf>
    <xf numFmtId="0" fontId="10" fillId="7" borderId="37" xfId="1" applyFont="1" applyFill="1" applyBorder="1" applyAlignment="1">
      <alignment vertical="center"/>
    </xf>
    <xf numFmtId="0" fontId="10" fillId="7" borderId="3" xfId="1" applyFont="1" applyFill="1" applyBorder="1" applyAlignment="1">
      <alignment vertical="center"/>
    </xf>
    <xf numFmtId="1" fontId="12" fillId="7" borderId="1" xfId="1" applyNumberFormat="1" applyFont="1" applyFill="1" applyBorder="1" applyAlignment="1">
      <alignment horizontal="center" vertical="center" wrapText="1"/>
    </xf>
    <xf numFmtId="1" fontId="12" fillId="7" borderId="18" xfId="1" applyNumberFormat="1" applyFont="1" applyFill="1" applyBorder="1" applyAlignment="1">
      <alignment vertical="center" wrapText="1"/>
    </xf>
    <xf numFmtId="1" fontId="12" fillId="7" borderId="2" xfId="1" applyNumberFormat="1" applyFont="1" applyFill="1" applyBorder="1" applyAlignment="1">
      <alignment horizontal="center" vertical="center" wrapText="1"/>
    </xf>
    <xf numFmtId="1" fontId="12" fillId="7" borderId="42" xfId="1" applyNumberFormat="1" applyFont="1" applyFill="1" applyBorder="1" applyAlignment="1">
      <alignment vertical="center" wrapText="1"/>
    </xf>
    <xf numFmtId="1" fontId="12" fillId="7" borderId="14" xfId="1" applyNumberFormat="1" applyFont="1" applyFill="1" applyBorder="1" applyAlignment="1">
      <alignment vertical="center" wrapText="1"/>
    </xf>
    <xf numFmtId="0" fontId="10" fillId="7" borderId="41" xfId="1" applyFont="1" applyFill="1" applyBorder="1" applyAlignment="1">
      <alignment vertical="center"/>
    </xf>
    <xf numFmtId="1" fontId="12" fillId="7" borderId="7" xfId="1" applyNumberFormat="1" applyFont="1" applyFill="1" applyBorder="1" applyAlignment="1">
      <alignment horizontal="center" vertical="center" wrapText="1"/>
    </xf>
    <xf numFmtId="1" fontId="4" fillId="7" borderId="4" xfId="1" applyNumberFormat="1" applyFont="1" applyFill="1" applyBorder="1" applyAlignment="1">
      <alignment horizontal="center" vertical="center" wrapText="1"/>
    </xf>
    <xf numFmtId="1" fontId="3" fillId="7" borderId="4" xfId="1" applyNumberFormat="1" applyFont="1" applyFill="1" applyBorder="1" applyAlignment="1">
      <alignment horizontal="center" vertical="center" wrapText="1"/>
    </xf>
    <xf numFmtId="165" fontId="15" fillId="7" borderId="40" xfId="1" applyNumberFormat="1" applyFont="1" applyFill="1" applyBorder="1" applyAlignment="1">
      <alignment horizontal="center" wrapText="1"/>
    </xf>
    <xf numFmtId="0" fontId="10" fillId="5" borderId="12" xfId="1" applyFont="1" applyFill="1" applyBorder="1" applyAlignment="1">
      <alignment vertical="center"/>
    </xf>
    <xf numFmtId="0" fontId="10" fillId="7" borderId="12" xfId="1" applyFont="1" applyFill="1" applyBorder="1" applyAlignment="1">
      <alignment horizontal="center" vertical="center"/>
    </xf>
    <xf numFmtId="1" fontId="10" fillId="7" borderId="4" xfId="1" applyNumberFormat="1" applyFont="1" applyFill="1" applyBorder="1" applyAlignment="1">
      <alignment vertical="center"/>
    </xf>
    <xf numFmtId="0" fontId="14" fillId="7" borderId="40" xfId="1" applyFont="1" applyFill="1" applyBorder="1" applyAlignment="1">
      <alignment vertical="center"/>
    </xf>
    <xf numFmtId="0" fontId="30" fillId="7" borderId="44" xfId="0" applyFont="1" applyFill="1" applyBorder="1" applyAlignment="1">
      <alignment horizontal="left" vertical="center" wrapText="1" readingOrder="1"/>
    </xf>
    <xf numFmtId="0" fontId="12" fillId="7" borderId="14" xfId="1" applyFont="1" applyFill="1" applyBorder="1" applyAlignment="1">
      <alignment horizontal="center" vertical="center" wrapText="1"/>
    </xf>
    <xf numFmtId="1" fontId="12" fillId="7" borderId="14" xfId="1" applyNumberFormat="1" applyFont="1" applyFill="1" applyBorder="1" applyAlignment="1">
      <alignment horizontal="center" vertical="center" wrapText="1"/>
    </xf>
    <xf numFmtId="1" fontId="3" fillId="7" borderId="18" xfId="1" applyNumberFormat="1" applyFont="1" applyFill="1" applyBorder="1" applyAlignment="1">
      <alignment horizontal="center" vertical="center" wrapText="1"/>
    </xf>
    <xf numFmtId="0" fontId="30" fillId="7" borderId="11" xfId="0" quotePrefix="1" applyFont="1" applyFill="1" applyBorder="1" applyAlignment="1">
      <alignment horizontal="left" vertical="center" wrapText="1" readingOrder="1"/>
    </xf>
    <xf numFmtId="0" fontId="10" fillId="7" borderId="40" xfId="1" applyFont="1" applyFill="1" applyBorder="1" applyAlignment="1">
      <alignment vertical="center"/>
    </xf>
    <xf numFmtId="1" fontId="12" fillId="7" borderId="9" xfId="1" applyNumberFormat="1" applyFont="1" applyFill="1" applyBorder="1" applyAlignment="1">
      <alignment horizontal="center" vertical="center" wrapText="1"/>
    </xf>
    <xf numFmtId="1" fontId="3" fillId="7" borderId="0" xfId="1" applyNumberFormat="1" applyFont="1" applyFill="1" applyAlignment="1">
      <alignment horizontal="center" vertical="center" wrapText="1"/>
    </xf>
    <xf numFmtId="0" fontId="28" fillId="4" borderId="45" xfId="1" applyFont="1" applyFill="1" applyBorder="1" applyAlignment="1">
      <alignment vertical="center"/>
    </xf>
    <xf numFmtId="0" fontId="28" fillId="4" borderId="18" xfId="1" applyFont="1" applyFill="1" applyBorder="1" applyAlignment="1">
      <alignment horizontal="center" vertical="center" wrapText="1"/>
    </xf>
    <xf numFmtId="0" fontId="28" fillId="4" borderId="18" xfId="1" applyFont="1" applyFill="1" applyBorder="1" applyAlignment="1">
      <alignment horizontal="center" vertical="top" wrapText="1"/>
    </xf>
    <xf numFmtId="0" fontId="32" fillId="4" borderId="18" xfId="1" applyFont="1" applyFill="1" applyBorder="1" applyAlignment="1">
      <alignment horizontal="center" vertical="center" wrapText="1"/>
    </xf>
    <xf numFmtId="0" fontId="28" fillId="4" borderId="46" xfId="1" applyFont="1" applyFill="1" applyBorder="1" applyAlignment="1">
      <alignment horizontal="center" vertical="center" wrapText="1"/>
    </xf>
    <xf numFmtId="0" fontId="12" fillId="7" borderId="30" xfId="1" applyFont="1" applyFill="1" applyBorder="1" applyAlignment="1">
      <alignment horizontal="center" vertical="center"/>
    </xf>
    <xf numFmtId="0" fontId="12" fillId="7" borderId="31" xfId="1" applyFont="1" applyFill="1" applyBorder="1" applyAlignment="1">
      <alignment horizontal="center" vertical="center"/>
    </xf>
    <xf numFmtId="0" fontId="4" fillId="7" borderId="31" xfId="1" applyFont="1" applyFill="1" applyBorder="1" applyAlignment="1">
      <alignment horizontal="center" vertical="center"/>
    </xf>
    <xf numFmtId="166" fontId="2" fillId="7" borderId="31" xfId="0" applyNumberFormat="1" applyFont="1" applyFill="1" applyBorder="1" applyAlignment="1">
      <alignment horizontal="center" vertical="center"/>
    </xf>
    <xf numFmtId="2" fontId="4" fillId="7" borderId="31" xfId="1" applyNumberFormat="1" applyFont="1" applyFill="1" applyBorder="1" applyAlignment="1">
      <alignment horizontal="center" vertical="center"/>
    </xf>
    <xf numFmtId="1" fontId="12" fillId="7" borderId="31" xfId="1" applyNumberFormat="1" applyFont="1" applyFill="1" applyBorder="1" applyAlignment="1">
      <alignment horizontal="center" vertical="center" wrapText="1"/>
    </xf>
    <xf numFmtId="1" fontId="3" fillId="7" borderId="31" xfId="1" applyNumberFormat="1" applyFont="1" applyFill="1" applyBorder="1" applyAlignment="1">
      <alignment horizontal="center" vertical="center" wrapText="1"/>
    </xf>
    <xf numFmtId="0" fontId="30" fillId="7" borderId="34" xfId="0" quotePrefix="1" applyFont="1" applyFill="1" applyBorder="1" applyAlignment="1">
      <alignment horizontal="left" vertical="center" wrapText="1" readingOrder="1"/>
    </xf>
    <xf numFmtId="2" fontId="4" fillId="7" borderId="20" xfId="1" applyNumberFormat="1" applyFont="1" applyFill="1" applyBorder="1" applyAlignment="1">
      <alignment horizontal="center" vertical="center"/>
    </xf>
    <xf numFmtId="0" fontId="30" fillId="7" borderId="17" xfId="0" quotePrefix="1" applyFont="1" applyFill="1" applyBorder="1" applyAlignment="1">
      <alignment horizontal="left" vertical="center" wrapText="1" readingOrder="1"/>
    </xf>
    <xf numFmtId="0" fontId="12" fillId="7" borderId="28" xfId="1" applyFont="1" applyFill="1" applyBorder="1" applyAlignment="1">
      <alignment horizontal="center" vertical="center"/>
    </xf>
    <xf numFmtId="0" fontId="4" fillId="7" borderId="17" xfId="1" applyFont="1" applyFill="1" applyBorder="1" applyAlignment="1">
      <alignment horizontal="center" vertical="center"/>
    </xf>
    <xf numFmtId="167" fontId="2" fillId="7" borderId="17" xfId="0" applyNumberFormat="1" applyFont="1" applyFill="1" applyBorder="1" applyAlignment="1">
      <alignment horizontal="center" vertical="center"/>
    </xf>
    <xf numFmtId="1" fontId="4" fillId="7" borderId="17" xfId="1" applyNumberFormat="1" applyFont="1" applyFill="1" applyBorder="1" applyAlignment="1">
      <alignment horizontal="center" vertical="center"/>
    </xf>
    <xf numFmtId="167" fontId="12" fillId="7" borderId="17" xfId="1" applyNumberFormat="1" applyFont="1" applyFill="1" applyBorder="1" applyAlignment="1">
      <alignment horizontal="center" vertical="center" wrapText="1"/>
    </xf>
    <xf numFmtId="1" fontId="3" fillId="7" borderId="17" xfId="1" applyNumberFormat="1" applyFont="1" applyFill="1" applyBorder="1" applyAlignment="1">
      <alignment horizontal="center" vertical="center" wrapText="1"/>
    </xf>
    <xf numFmtId="167" fontId="3" fillId="7" borderId="17" xfId="1" applyNumberFormat="1" applyFont="1" applyFill="1" applyBorder="1" applyAlignment="1">
      <alignment horizontal="center" vertical="center" wrapText="1"/>
    </xf>
    <xf numFmtId="0" fontId="12" fillId="7" borderId="43" xfId="1" applyFont="1" applyFill="1" applyBorder="1" applyAlignment="1">
      <alignment horizontal="center" vertical="center"/>
    </xf>
    <xf numFmtId="167" fontId="3" fillId="7" borderId="12" xfId="1" applyNumberFormat="1" applyFont="1" applyFill="1" applyBorder="1" applyAlignment="1">
      <alignment horizontal="center" vertical="center" wrapText="1"/>
    </xf>
    <xf numFmtId="0" fontId="12" fillId="7" borderId="15" xfId="1" applyFont="1" applyFill="1" applyBorder="1" applyAlignment="1">
      <alignment horizontal="center" vertical="center"/>
    </xf>
    <xf numFmtId="167" fontId="3" fillId="7" borderId="15" xfId="1" applyNumberFormat="1" applyFont="1" applyFill="1" applyBorder="1" applyAlignment="1">
      <alignment horizontal="center" vertical="center" wrapText="1"/>
    </xf>
    <xf numFmtId="0" fontId="30" fillId="7" borderId="30" xfId="0" quotePrefix="1" applyFont="1" applyFill="1" applyBorder="1" applyAlignment="1">
      <alignment horizontal="left" vertical="center" wrapText="1" readingOrder="1"/>
    </xf>
    <xf numFmtId="0" fontId="4" fillId="7" borderId="27" xfId="1" applyFont="1" applyFill="1" applyBorder="1" applyAlignment="1">
      <alignment horizontal="center" vertical="center"/>
    </xf>
    <xf numFmtId="167" fontId="2" fillId="7" borderId="31" xfId="0" applyNumberFormat="1" applyFont="1" applyFill="1" applyBorder="1" applyAlignment="1">
      <alignment horizontal="center" vertical="center"/>
    </xf>
    <xf numFmtId="167" fontId="4" fillId="7" borderId="31" xfId="1" applyNumberFormat="1" applyFont="1" applyFill="1" applyBorder="1" applyAlignment="1">
      <alignment horizontal="center" vertical="center"/>
    </xf>
    <xf numFmtId="167" fontId="12" fillId="7" borderId="31" xfId="1" applyNumberFormat="1" applyFont="1" applyFill="1" applyBorder="1" applyAlignment="1">
      <alignment horizontal="center" vertical="center" wrapText="1"/>
    </xf>
    <xf numFmtId="167" fontId="3" fillId="7" borderId="31" xfId="1" applyNumberFormat="1" applyFont="1" applyFill="1" applyBorder="1" applyAlignment="1">
      <alignment horizontal="center" vertical="center" wrapText="1"/>
    </xf>
    <xf numFmtId="165" fontId="14" fillId="7" borderId="28" xfId="1" applyNumberFormat="1" applyFont="1" applyFill="1" applyBorder="1" applyAlignment="1">
      <alignment horizontal="center" vertical="center"/>
    </xf>
    <xf numFmtId="0" fontId="5" fillId="7" borderId="19" xfId="1" applyFont="1" applyFill="1" applyBorder="1" applyAlignment="1">
      <alignment vertical="center" wrapText="1"/>
    </xf>
    <xf numFmtId="0" fontId="12" fillId="7" borderId="17" xfId="1" applyFont="1" applyFill="1" applyBorder="1" applyAlignment="1">
      <alignment horizontal="center" vertical="center"/>
    </xf>
    <xf numFmtId="2" fontId="2" fillId="7" borderId="17" xfId="0" applyNumberFormat="1" applyFont="1" applyFill="1" applyBorder="1" applyAlignment="1">
      <alignment horizontal="center" vertical="center"/>
    </xf>
    <xf numFmtId="1" fontId="12" fillId="7" borderId="17" xfId="1" applyNumberFormat="1" applyFont="1" applyFill="1" applyBorder="1" applyAlignment="1">
      <alignment horizontal="center" vertical="center" wrapText="1"/>
    </xf>
    <xf numFmtId="1" fontId="3" fillId="7" borderId="26" xfId="1" applyNumberFormat="1" applyFont="1" applyFill="1" applyBorder="1" applyAlignment="1">
      <alignment horizontal="center" vertical="center" wrapText="1"/>
    </xf>
    <xf numFmtId="1" fontId="3" fillId="7" borderId="19" xfId="1" applyNumberFormat="1" applyFont="1" applyFill="1" applyBorder="1" applyAlignment="1">
      <alignment horizontal="center" vertical="center" wrapText="1"/>
    </xf>
    <xf numFmtId="0" fontId="12" fillId="7" borderId="12" xfId="1" applyFont="1" applyFill="1" applyBorder="1" applyAlignment="1">
      <alignment horizontal="center" vertical="center" wrapText="1"/>
    </xf>
    <xf numFmtId="0" fontId="12" fillId="7" borderId="15" xfId="1" applyFont="1" applyFill="1" applyBorder="1" applyAlignment="1">
      <alignment horizontal="center" vertical="center" wrapText="1"/>
    </xf>
    <xf numFmtId="1" fontId="3" fillId="7" borderId="30" xfId="1" applyNumberFormat="1" applyFont="1" applyFill="1" applyBorder="1" applyAlignment="1">
      <alignment horizontal="center" vertical="center" wrapText="1"/>
    </xf>
    <xf numFmtId="2" fontId="2" fillId="7" borderId="31" xfId="0" applyNumberFormat="1" applyFont="1" applyFill="1" applyBorder="1" applyAlignment="1">
      <alignment horizontal="center" vertical="center"/>
    </xf>
    <xf numFmtId="1" fontId="4" fillId="7" borderId="31" xfId="1" applyNumberFormat="1" applyFont="1" applyFill="1" applyBorder="1" applyAlignment="1">
      <alignment horizontal="center" vertical="center"/>
    </xf>
    <xf numFmtId="0" fontId="12" fillId="7" borderId="31" xfId="1" applyFont="1" applyFill="1" applyBorder="1" applyAlignment="1">
      <alignment horizontal="center" vertical="center" wrapText="1"/>
    </xf>
    <xf numFmtId="2" fontId="2" fillId="7" borderId="20" xfId="0" applyNumberFormat="1" applyFont="1" applyFill="1" applyBorder="1" applyAlignment="1">
      <alignment horizontal="center" vertical="center"/>
    </xf>
    <xf numFmtId="2" fontId="2" fillId="7" borderId="15" xfId="0" applyNumberFormat="1" applyFont="1" applyFill="1" applyBorder="1" applyAlignment="1">
      <alignment horizontal="center" vertical="center"/>
    </xf>
    <xf numFmtId="165" fontId="14" fillId="7" borderId="25" xfId="1" applyNumberFormat="1" applyFont="1" applyFill="1" applyBorder="1" applyAlignment="1">
      <alignment horizontal="center" vertical="center"/>
    </xf>
    <xf numFmtId="165" fontId="15" fillId="7" borderId="43" xfId="1" applyNumberFormat="1" applyFont="1" applyFill="1" applyBorder="1" applyAlignment="1">
      <alignment horizontal="left"/>
    </xf>
    <xf numFmtId="0" fontId="30" fillId="7" borderId="16" xfId="0" quotePrefix="1" applyFont="1" applyFill="1" applyBorder="1" applyAlignment="1">
      <alignment horizontal="left" vertical="center" wrapText="1" readingOrder="1"/>
    </xf>
    <xf numFmtId="0" fontId="12" fillId="7" borderId="16" xfId="1" applyFont="1" applyFill="1" applyBorder="1" applyAlignment="1">
      <alignment horizontal="center" vertical="center"/>
    </xf>
    <xf numFmtId="2" fontId="2" fillId="7" borderId="16" xfId="0" applyNumberFormat="1" applyFont="1" applyFill="1" applyBorder="1" applyAlignment="1">
      <alignment horizontal="center" vertical="center"/>
    </xf>
    <xf numFmtId="1" fontId="4" fillId="7" borderId="16" xfId="1" applyNumberFormat="1" applyFont="1" applyFill="1" applyBorder="1" applyAlignment="1">
      <alignment horizontal="center" vertical="center"/>
    </xf>
    <xf numFmtId="1" fontId="12" fillId="7" borderId="16" xfId="1" applyNumberFormat="1" applyFont="1" applyFill="1" applyBorder="1" applyAlignment="1">
      <alignment horizontal="center" vertical="center" wrapText="1"/>
    </xf>
    <xf numFmtId="1" fontId="3" fillId="7" borderId="16" xfId="1" applyNumberFormat="1" applyFont="1" applyFill="1" applyBorder="1" applyAlignment="1">
      <alignment horizontal="center" vertical="center" wrapText="1"/>
    </xf>
    <xf numFmtId="1" fontId="3" fillId="7" borderId="24" xfId="1" applyNumberFormat="1" applyFont="1" applyFill="1" applyBorder="1" applyAlignment="1">
      <alignment horizontal="center" vertical="center" wrapText="1"/>
    </xf>
    <xf numFmtId="0" fontId="30" fillId="7" borderId="17" xfId="0" quotePrefix="1" applyFont="1" applyFill="1" applyBorder="1" applyAlignment="1">
      <alignment horizontal="left" vertical="center" readingOrder="1"/>
    </xf>
    <xf numFmtId="0" fontId="10" fillId="7" borderId="19" xfId="1" applyFont="1" applyFill="1" applyBorder="1" applyAlignment="1">
      <alignment vertical="center"/>
    </xf>
    <xf numFmtId="0" fontId="10" fillId="7" borderId="20" xfId="1" applyFont="1" applyFill="1" applyBorder="1" applyAlignment="1">
      <alignment vertical="center"/>
    </xf>
    <xf numFmtId="0" fontId="10" fillId="7" borderId="43" xfId="1" applyFont="1" applyFill="1" applyBorder="1" applyAlignment="1">
      <alignment vertical="center"/>
    </xf>
    <xf numFmtId="0" fontId="10" fillId="7" borderId="17" xfId="1" applyFont="1" applyFill="1" applyBorder="1" applyAlignment="1">
      <alignment vertical="center"/>
    </xf>
    <xf numFmtId="0" fontId="10" fillId="7" borderId="15" xfId="1" applyFont="1" applyFill="1" applyBorder="1" applyAlignment="1">
      <alignment vertical="center"/>
    </xf>
    <xf numFmtId="0" fontId="10" fillId="7" borderId="12" xfId="1" applyFont="1" applyFill="1" applyBorder="1" applyAlignment="1">
      <alignment vertical="center"/>
    </xf>
    <xf numFmtId="0" fontId="10" fillId="7" borderId="25" xfId="1" applyFont="1" applyFill="1" applyBorder="1" applyAlignment="1">
      <alignment vertical="center"/>
    </xf>
    <xf numFmtId="0" fontId="0" fillId="0" borderId="0" xfId="0" applyAlignment="1">
      <alignment horizontal="center"/>
    </xf>
    <xf numFmtId="0" fontId="0" fillId="3" borderId="0" xfId="0" applyFill="1" applyAlignment="1">
      <alignment horizontal="center"/>
    </xf>
    <xf numFmtId="0" fontId="2" fillId="3" borderId="0" xfId="0" applyFont="1" applyFill="1"/>
    <xf numFmtId="0" fontId="5" fillId="3" borderId="0" xfId="1" applyFont="1" applyFill="1" applyAlignment="1">
      <alignment vertical="center"/>
    </xf>
    <xf numFmtId="0" fontId="23" fillId="7" borderId="4" xfId="1" applyFont="1" applyFill="1" applyBorder="1" applyAlignment="1">
      <alignment horizontal="center" vertical="center"/>
    </xf>
    <xf numFmtId="165" fontId="3" fillId="3" borderId="0" xfId="1" applyNumberFormat="1" applyFont="1" applyFill="1" applyAlignment="1">
      <alignment wrapText="1"/>
    </xf>
    <xf numFmtId="0" fontId="24" fillId="5" borderId="12" xfId="1" applyFont="1" applyFill="1" applyBorder="1" applyAlignment="1">
      <alignment horizontal="left" vertical="center"/>
    </xf>
    <xf numFmtId="0" fontId="35" fillId="4" borderId="1" xfId="1" applyFont="1" applyFill="1" applyBorder="1" applyAlignment="1">
      <alignment horizontal="center" vertical="center" wrapText="1"/>
    </xf>
    <xf numFmtId="165" fontId="20" fillId="7" borderId="25" xfId="1" applyNumberFormat="1" applyFont="1" applyFill="1" applyBorder="1" applyAlignment="1">
      <alignment wrapText="1"/>
    </xf>
    <xf numFmtId="0" fontId="21" fillId="7" borderId="0" xfId="0" applyFont="1" applyFill="1" applyAlignment="1">
      <alignment horizontal="center" vertical="center"/>
    </xf>
    <xf numFmtId="0" fontId="20" fillId="7" borderId="0" xfId="0" applyFont="1" applyFill="1" applyAlignment="1">
      <alignment horizontal="center" vertical="center"/>
    </xf>
    <xf numFmtId="0" fontId="8" fillId="3" borderId="0" xfId="1" applyFont="1" applyFill="1" applyAlignment="1">
      <alignment vertical="center"/>
    </xf>
    <xf numFmtId="0" fontId="18" fillId="4" borderId="1" xfId="1" applyFont="1" applyFill="1" applyBorder="1" applyAlignment="1">
      <alignment horizontal="center" vertical="center"/>
    </xf>
    <xf numFmtId="0" fontId="6" fillId="3" borderId="0" xfId="0" applyFont="1" applyFill="1" applyAlignment="1">
      <alignment vertical="center"/>
    </xf>
    <xf numFmtId="0" fontId="11" fillId="7" borderId="1" xfId="0" applyFont="1" applyFill="1" applyBorder="1" applyAlignment="1">
      <alignment vertical="center"/>
    </xf>
    <xf numFmtId="0" fontId="0" fillId="7" borderId="1" xfId="0" applyFill="1" applyBorder="1" applyAlignment="1">
      <alignment vertical="center"/>
    </xf>
    <xf numFmtId="0" fontId="8" fillId="3" borderId="0" xfId="0" applyFont="1" applyFill="1" applyAlignment="1">
      <alignment vertical="center"/>
    </xf>
    <xf numFmtId="0" fontId="17" fillId="7" borderId="38" xfId="0" applyFont="1" applyFill="1" applyBorder="1" applyAlignment="1">
      <alignment vertical="center"/>
    </xf>
    <xf numFmtId="0" fontId="36" fillId="3" borderId="0" xfId="0" applyFont="1" applyFill="1" applyAlignment="1" applyProtection="1">
      <alignment vertical="center"/>
      <protection locked="0"/>
    </xf>
    <xf numFmtId="0" fontId="37" fillId="8" borderId="53" xfId="0" applyFont="1" applyFill="1" applyBorder="1" applyAlignment="1">
      <alignment horizontal="center" vertical="center" wrapText="1" readingOrder="1"/>
    </xf>
    <xf numFmtId="0" fontId="37" fillId="8" borderId="11" xfId="0" quotePrefix="1" applyFont="1" applyFill="1" applyBorder="1" applyAlignment="1">
      <alignment horizontal="left" vertical="center" wrapText="1" readingOrder="1"/>
    </xf>
    <xf numFmtId="0" fontId="38" fillId="9" borderId="54" xfId="0" applyFont="1" applyFill="1" applyBorder="1" applyAlignment="1">
      <alignment horizontal="left" vertical="center" wrapText="1" readingOrder="1"/>
    </xf>
    <xf numFmtId="0" fontId="37" fillId="9" borderId="53" xfId="0" applyFont="1" applyFill="1" applyBorder="1" applyAlignment="1">
      <alignment horizontal="center" vertical="center" wrapText="1" readingOrder="1"/>
    </xf>
    <xf numFmtId="0" fontId="37" fillId="9" borderId="11" xfId="0" quotePrefix="1" applyFont="1" applyFill="1" applyBorder="1" applyAlignment="1">
      <alignment horizontal="left" vertical="center" wrapText="1" readingOrder="1"/>
    </xf>
    <xf numFmtId="0" fontId="37" fillId="8" borderId="55" xfId="0" applyFont="1" applyFill="1" applyBorder="1" applyAlignment="1">
      <alignment horizontal="center" vertical="center" wrapText="1" readingOrder="1"/>
    </xf>
    <xf numFmtId="0" fontId="37" fillId="8" borderId="56" xfId="0" quotePrefix="1" applyFont="1" applyFill="1" applyBorder="1" applyAlignment="1">
      <alignment horizontal="left" vertical="center" wrapText="1" readingOrder="1"/>
    </xf>
    <xf numFmtId="0" fontId="37" fillId="9" borderId="58" xfId="0" applyFont="1" applyFill="1" applyBorder="1" applyAlignment="1">
      <alignment horizontal="center" vertical="center" wrapText="1" readingOrder="1"/>
    </xf>
    <xf numFmtId="0" fontId="37" fillId="9" borderId="59" xfId="0" quotePrefix="1" applyFont="1" applyFill="1" applyBorder="1" applyAlignment="1">
      <alignment horizontal="left" vertical="center" wrapText="1" readingOrder="1"/>
    </xf>
    <xf numFmtId="0" fontId="37" fillId="8" borderId="61" xfId="0" applyFont="1" applyFill="1" applyBorder="1" applyAlignment="1">
      <alignment horizontal="center" vertical="center" wrapText="1" readingOrder="1"/>
    </xf>
    <xf numFmtId="0" fontId="37" fillId="8" borderId="12" xfId="0" quotePrefix="1" applyFont="1" applyFill="1" applyBorder="1" applyAlignment="1">
      <alignment horizontal="left" vertical="center" wrapText="1" readingOrder="1"/>
    </xf>
    <xf numFmtId="0" fontId="37" fillId="9" borderId="61" xfId="0" applyFont="1" applyFill="1" applyBorder="1" applyAlignment="1">
      <alignment horizontal="center" vertical="center" wrapText="1" readingOrder="1"/>
    </xf>
    <xf numFmtId="0" fontId="37" fillId="9" borderId="12" xfId="0" quotePrefix="1" applyFont="1" applyFill="1" applyBorder="1" applyAlignment="1">
      <alignment horizontal="left" vertical="center" wrapText="1" readingOrder="1"/>
    </xf>
    <xf numFmtId="0" fontId="38" fillId="10" borderId="65" xfId="0" applyFont="1" applyFill="1" applyBorder="1" applyAlignment="1">
      <alignment horizontal="center" vertical="center" wrapText="1" readingOrder="1"/>
    </xf>
    <xf numFmtId="0" fontId="38" fillId="10" borderId="66" xfId="0" applyFont="1" applyFill="1" applyBorder="1" applyAlignment="1">
      <alignment horizontal="center" vertical="center" wrapText="1" readingOrder="1"/>
    </xf>
    <xf numFmtId="0" fontId="38" fillId="10" borderId="54" xfId="0" applyFont="1" applyFill="1" applyBorder="1" applyAlignment="1">
      <alignment horizontal="center" vertical="center" wrapText="1" readingOrder="1"/>
    </xf>
    <xf numFmtId="0" fontId="39" fillId="11" borderId="12" xfId="0" applyFont="1" applyFill="1" applyBorder="1" applyAlignment="1">
      <alignment horizontal="center"/>
    </xf>
    <xf numFmtId="0" fontId="40" fillId="7" borderId="37" xfId="1" applyFont="1" applyFill="1" applyBorder="1" applyAlignment="1">
      <alignment vertical="center" wrapText="1"/>
    </xf>
    <xf numFmtId="2" fontId="2" fillId="7" borderId="12" xfId="0" applyNumberFormat="1" applyFont="1" applyFill="1" applyBorder="1" applyAlignment="1">
      <alignment horizontal="center" vertical="center"/>
    </xf>
    <xf numFmtId="1" fontId="2" fillId="7" borderId="12" xfId="0" applyNumberFormat="1" applyFont="1" applyFill="1" applyBorder="1" applyAlignment="1">
      <alignment horizontal="center" vertical="center"/>
    </xf>
    <xf numFmtId="0" fontId="30" fillId="7" borderId="13" xfId="0" quotePrefix="1" applyFont="1" applyFill="1" applyBorder="1" applyAlignment="1">
      <alignment vertical="center" wrapText="1" readingOrder="1"/>
    </xf>
    <xf numFmtId="0" fontId="14" fillId="7" borderId="37" xfId="1" applyFont="1" applyFill="1" applyBorder="1" applyAlignment="1">
      <alignment vertical="center"/>
    </xf>
    <xf numFmtId="0" fontId="14" fillId="7" borderId="41" xfId="1" applyFont="1" applyFill="1" applyBorder="1" applyAlignment="1">
      <alignment vertical="center"/>
    </xf>
    <xf numFmtId="1" fontId="2" fillId="7" borderId="15" xfId="0" applyNumberFormat="1" applyFont="1" applyFill="1" applyBorder="1" applyAlignment="1">
      <alignment horizontal="center" vertical="center"/>
    </xf>
    <xf numFmtId="0" fontId="10" fillId="7" borderId="20" xfId="1" applyFont="1" applyFill="1" applyBorder="1" applyAlignment="1">
      <alignment horizontal="center" vertical="center"/>
    </xf>
    <xf numFmtId="1" fontId="10" fillId="7" borderId="12" xfId="1" applyNumberFormat="1" applyFont="1" applyFill="1" applyBorder="1" applyAlignment="1">
      <alignment horizontal="center" vertical="center"/>
    </xf>
    <xf numFmtId="0" fontId="10" fillId="7" borderId="0" xfId="1" applyFont="1" applyFill="1" applyAlignment="1">
      <alignment horizontal="center" vertical="center"/>
    </xf>
    <xf numFmtId="0" fontId="28" fillId="4" borderId="39" xfId="1" applyFont="1" applyFill="1" applyBorder="1" applyAlignment="1">
      <alignment vertical="center"/>
    </xf>
    <xf numFmtId="0" fontId="28" fillId="4" borderId="1" xfId="1" applyFont="1" applyFill="1" applyBorder="1" applyAlignment="1">
      <alignment horizontal="center" vertical="center" wrapText="1"/>
    </xf>
    <xf numFmtId="0" fontId="32" fillId="4" borderId="1" xfId="1" applyFont="1" applyFill="1" applyBorder="1" applyAlignment="1">
      <alignment horizontal="center" vertical="center" wrapText="1"/>
    </xf>
    <xf numFmtId="0" fontId="28" fillId="4" borderId="38" xfId="1" applyFont="1" applyFill="1" applyBorder="1" applyAlignment="1">
      <alignment horizontal="center" vertical="center" wrapText="1"/>
    </xf>
    <xf numFmtId="0" fontId="10" fillId="7" borderId="4" xfId="1" applyFont="1" applyFill="1" applyBorder="1" applyAlignment="1">
      <alignment horizontal="center" vertical="center"/>
    </xf>
    <xf numFmtId="165" fontId="15" fillId="7" borderId="40" xfId="1" applyNumberFormat="1" applyFont="1" applyFill="1" applyBorder="1" applyAlignment="1">
      <alignment wrapText="1"/>
    </xf>
    <xf numFmtId="165" fontId="14" fillId="7" borderId="15" xfId="1" applyNumberFormat="1" applyFont="1" applyFill="1" applyBorder="1" applyAlignment="1">
      <alignment vertical="center"/>
    </xf>
    <xf numFmtId="165" fontId="14" fillId="7" borderId="17" xfId="1" applyNumberFormat="1" applyFont="1" applyFill="1" applyBorder="1" applyAlignment="1">
      <alignment horizontal="left" vertical="center"/>
    </xf>
    <xf numFmtId="0" fontId="4" fillId="0" borderId="24" xfId="1" applyFont="1" applyBorder="1" applyAlignment="1">
      <alignment horizontal="left" vertical="center"/>
    </xf>
    <xf numFmtId="0" fontId="4" fillId="0" borderId="0" xfId="1" applyFont="1" applyAlignment="1">
      <alignment horizontal="left" vertical="center"/>
    </xf>
    <xf numFmtId="0" fontId="4" fillId="0" borderId="26" xfId="1" applyFont="1" applyBorder="1" applyAlignment="1">
      <alignment horizontal="left" vertical="center"/>
    </xf>
    <xf numFmtId="0" fontId="4" fillId="0" borderId="27" xfId="1" applyFont="1" applyBorder="1" applyAlignment="1">
      <alignment horizontal="left" vertical="center"/>
    </xf>
    <xf numFmtId="0" fontId="9" fillId="7" borderId="2" xfId="0" applyFont="1" applyFill="1" applyBorder="1" applyAlignment="1">
      <alignment horizontal="left" vertical="center"/>
    </xf>
    <xf numFmtId="0" fontId="9" fillId="7" borderId="4" xfId="0" applyFont="1" applyFill="1" applyBorder="1" applyAlignment="1">
      <alignment horizontal="left" vertical="center"/>
    </xf>
    <xf numFmtId="0" fontId="9" fillId="7" borderId="3" xfId="0" applyFont="1" applyFill="1" applyBorder="1" applyAlignment="1">
      <alignment horizontal="left" vertical="center"/>
    </xf>
    <xf numFmtId="0" fontId="10" fillId="7" borderId="37" xfId="0" applyFont="1" applyFill="1" applyBorder="1" applyAlignment="1">
      <alignment horizontal="left" vertical="center"/>
    </xf>
    <xf numFmtId="0" fontId="10" fillId="7" borderId="4" xfId="0" applyFont="1" applyFill="1" applyBorder="1" applyAlignment="1">
      <alignment horizontal="left" vertical="center"/>
    </xf>
    <xf numFmtId="0" fontId="10" fillId="7" borderId="3" xfId="0" applyFont="1" applyFill="1" applyBorder="1" applyAlignment="1">
      <alignment horizontal="left" vertical="center"/>
    </xf>
    <xf numFmtId="0" fontId="18" fillId="4" borderId="2" xfId="1" applyFont="1" applyFill="1" applyBorder="1" applyAlignment="1">
      <alignment horizontal="center" vertical="center"/>
    </xf>
    <xf numFmtId="0" fontId="18" fillId="4" borderId="4" xfId="1" applyFont="1" applyFill="1" applyBorder="1" applyAlignment="1">
      <alignment horizontal="center" vertical="center"/>
    </xf>
    <xf numFmtId="0" fontId="18" fillId="4" borderId="40" xfId="1" applyFont="1" applyFill="1" applyBorder="1" applyAlignment="1">
      <alignment horizontal="center" vertical="center"/>
    </xf>
    <xf numFmtId="0" fontId="13" fillId="5" borderId="37" xfId="1" applyFont="1" applyFill="1" applyBorder="1" applyAlignment="1">
      <alignment horizontal="left" vertical="center"/>
    </xf>
    <xf numFmtId="0" fontId="13" fillId="5" borderId="4" xfId="1" applyFont="1" applyFill="1" applyBorder="1" applyAlignment="1">
      <alignment horizontal="left" vertical="center"/>
    </xf>
    <xf numFmtId="0" fontId="13" fillId="5" borderId="40" xfId="1" applyFont="1" applyFill="1" applyBorder="1" applyAlignment="1">
      <alignment horizontal="left" vertical="center"/>
    </xf>
    <xf numFmtId="0" fontId="34" fillId="6" borderId="29" xfId="0" applyFont="1" applyFill="1" applyBorder="1" applyAlignment="1" applyProtection="1">
      <alignment horizontal="left" vertical="center" wrapText="1"/>
      <protection locked="0"/>
    </xf>
    <xf numFmtId="0" fontId="34" fillId="6" borderId="21" xfId="0" applyFont="1" applyFill="1" applyBorder="1" applyAlignment="1" applyProtection="1">
      <alignment horizontal="left" vertical="center" wrapText="1"/>
      <protection locked="0"/>
    </xf>
    <xf numFmtId="0" fontId="9" fillId="5" borderId="37" xfId="1" applyFont="1" applyFill="1" applyBorder="1" applyAlignment="1">
      <alignment horizontal="left" vertical="center"/>
    </xf>
    <xf numFmtId="0" fontId="9" fillId="5" borderId="4" xfId="1" applyFont="1" applyFill="1" applyBorder="1" applyAlignment="1">
      <alignment horizontal="left" vertical="center"/>
    </xf>
    <xf numFmtId="0" fontId="9" fillId="5" borderId="40" xfId="1" applyFont="1" applyFill="1" applyBorder="1" applyAlignment="1">
      <alignment horizontal="left" vertical="center"/>
    </xf>
    <xf numFmtId="165" fontId="14" fillId="7" borderId="15" xfId="1" applyNumberFormat="1" applyFont="1" applyFill="1" applyBorder="1" applyAlignment="1">
      <alignment horizontal="left" vertical="center" wrapText="1"/>
    </xf>
    <xf numFmtId="165" fontId="14" fillId="7" borderId="16" xfId="1" applyNumberFormat="1" applyFont="1" applyFill="1" applyBorder="1" applyAlignment="1">
      <alignment horizontal="left" vertical="center" wrapText="1"/>
    </xf>
    <xf numFmtId="165" fontId="14" fillId="7" borderId="17" xfId="1" applyNumberFormat="1"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3" xfId="0" applyFont="1" applyFill="1" applyBorder="1" applyAlignment="1">
      <alignment horizontal="center" vertical="center"/>
    </xf>
    <xf numFmtId="0" fontId="27" fillId="7" borderId="30" xfId="0" applyFont="1" applyFill="1" applyBorder="1" applyAlignment="1">
      <alignment horizontal="center" vertical="center"/>
    </xf>
    <xf numFmtId="0" fontId="27" fillId="7" borderId="31" xfId="0" applyFont="1" applyFill="1" applyBorder="1" applyAlignment="1">
      <alignment horizontal="center" vertical="center"/>
    </xf>
    <xf numFmtId="0" fontId="27" fillId="7" borderId="32" xfId="0" applyFont="1" applyFill="1" applyBorder="1" applyAlignment="1">
      <alignment horizontal="center" vertical="center"/>
    </xf>
    <xf numFmtId="0" fontId="27" fillId="7" borderId="24" xfId="0" applyFont="1" applyFill="1" applyBorder="1" applyAlignment="1">
      <alignment horizontal="center" vertical="center"/>
    </xf>
    <xf numFmtId="0" fontId="27" fillId="7" borderId="0" xfId="0" applyFont="1" applyFill="1" applyAlignment="1">
      <alignment horizontal="center" vertical="center"/>
    </xf>
    <xf numFmtId="0" fontId="27" fillId="7" borderId="6" xfId="0" applyFont="1" applyFill="1" applyBorder="1" applyAlignment="1">
      <alignment horizontal="center" vertical="center"/>
    </xf>
    <xf numFmtId="0" fontId="27" fillId="7" borderId="35" xfId="0" applyFont="1" applyFill="1" applyBorder="1" applyAlignment="1">
      <alignment horizontal="center" vertical="center"/>
    </xf>
    <xf numFmtId="0" fontId="27" fillId="7" borderId="9" xfId="0" applyFont="1" applyFill="1" applyBorder="1" applyAlignment="1">
      <alignment horizontal="center" vertical="center"/>
    </xf>
    <xf numFmtId="0" fontId="27" fillId="7" borderId="10" xfId="0" applyFont="1" applyFill="1" applyBorder="1" applyAlignment="1">
      <alignment horizontal="center" vertical="center"/>
    </xf>
    <xf numFmtId="0" fontId="7" fillId="7" borderId="33" xfId="0" applyFont="1" applyFill="1" applyBorder="1" applyAlignment="1">
      <alignment horizontal="center" vertical="center"/>
    </xf>
    <xf numFmtId="0" fontId="7" fillId="7" borderId="31" xfId="0" applyFont="1" applyFill="1" applyBorder="1" applyAlignment="1">
      <alignment horizontal="center" vertical="center"/>
    </xf>
    <xf numFmtId="0" fontId="7" fillId="7" borderId="3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0" xfId="0" applyFont="1" applyFill="1" applyAlignment="1">
      <alignment horizontal="center" vertical="center"/>
    </xf>
    <xf numFmtId="0" fontId="7" fillId="7" borderId="25"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36" xfId="0" applyFont="1" applyFill="1" applyBorder="1" applyAlignment="1">
      <alignment horizontal="center" vertical="center"/>
    </xf>
    <xf numFmtId="0" fontId="16" fillId="7" borderId="37" xfId="0" applyFont="1" applyFill="1" applyBorder="1" applyAlignment="1">
      <alignment horizontal="left" vertical="center"/>
    </xf>
    <xf numFmtId="0" fontId="16" fillId="7" borderId="4" xfId="0" applyFont="1" applyFill="1" applyBorder="1" applyAlignment="1">
      <alignment horizontal="left" vertical="center"/>
    </xf>
    <xf numFmtId="0" fontId="16" fillId="7" borderId="3" xfId="0" applyFont="1" applyFill="1" applyBorder="1" applyAlignment="1">
      <alignment horizontal="left" vertical="center"/>
    </xf>
    <xf numFmtId="0" fontId="34" fillId="6" borderId="19" xfId="0" applyFont="1" applyFill="1" applyBorder="1" applyAlignment="1" applyProtection="1">
      <alignment horizontal="left" vertical="center" wrapText="1"/>
      <protection locked="0"/>
    </xf>
    <xf numFmtId="0" fontId="34" fillId="6" borderId="20" xfId="0" applyFont="1" applyFill="1" applyBorder="1" applyAlignment="1" applyProtection="1">
      <alignment horizontal="left" vertical="center" wrapText="1"/>
      <protection locked="0"/>
    </xf>
    <xf numFmtId="165" fontId="15" fillId="7" borderId="46" xfId="1" applyNumberFormat="1" applyFont="1" applyFill="1" applyBorder="1" applyAlignment="1">
      <alignment horizontal="center" wrapText="1"/>
    </xf>
    <xf numFmtId="165" fontId="15" fillId="7" borderId="47" xfId="1" applyNumberFormat="1" applyFont="1" applyFill="1" applyBorder="1" applyAlignment="1">
      <alignment horizontal="center" wrapText="1"/>
    </xf>
    <xf numFmtId="165" fontId="15" fillId="7" borderId="48" xfId="1" applyNumberFormat="1" applyFont="1" applyFill="1" applyBorder="1" applyAlignment="1">
      <alignment horizontal="center" wrapText="1"/>
    </xf>
    <xf numFmtId="0" fontId="4" fillId="0" borderId="24" xfId="1" applyFont="1" applyBorder="1" applyAlignment="1">
      <alignment horizontal="left" vertical="center" wrapText="1"/>
    </xf>
    <xf numFmtId="0" fontId="4" fillId="0" borderId="0" xfId="1" applyFont="1" applyAlignment="1">
      <alignment horizontal="left" vertical="center" wrapText="1"/>
    </xf>
    <xf numFmtId="0" fontId="4" fillId="0" borderId="22" xfId="1" applyFont="1" applyBorder="1" applyAlignment="1">
      <alignment horizontal="left" vertical="center"/>
    </xf>
    <xf numFmtId="0" fontId="4" fillId="0" borderId="23" xfId="1" applyFont="1" applyBorder="1" applyAlignment="1">
      <alignment horizontal="left" vertical="center"/>
    </xf>
    <xf numFmtId="0" fontId="4" fillId="0" borderId="25" xfId="1" applyFont="1" applyBorder="1" applyAlignment="1">
      <alignment horizontal="left" vertical="center"/>
    </xf>
    <xf numFmtId="0" fontId="4" fillId="0" borderId="25" xfId="1" applyFont="1" applyBorder="1" applyAlignment="1">
      <alignment horizontal="left" vertical="center" wrapText="1"/>
    </xf>
    <xf numFmtId="0" fontId="4" fillId="0" borderId="28" xfId="1" applyFont="1" applyBorder="1" applyAlignment="1">
      <alignment horizontal="left" vertical="center"/>
    </xf>
    <xf numFmtId="0" fontId="27" fillId="7" borderId="30" xfId="0" applyFont="1" applyFill="1" applyBorder="1" applyAlignment="1">
      <alignment horizontal="left" vertical="center"/>
    </xf>
    <xf numFmtId="0" fontId="27" fillId="7" borderId="31" xfId="0" applyFont="1" applyFill="1" applyBorder="1" applyAlignment="1">
      <alignment horizontal="left" vertical="center"/>
    </xf>
    <xf numFmtId="0" fontId="27" fillId="7" borderId="32" xfId="0" applyFont="1" applyFill="1" applyBorder="1" applyAlignment="1">
      <alignment horizontal="left" vertical="center"/>
    </xf>
    <xf numFmtId="0" fontId="27" fillId="7" borderId="24" xfId="0" applyFont="1" applyFill="1" applyBorder="1" applyAlignment="1">
      <alignment horizontal="left" vertical="center"/>
    </xf>
    <xf numFmtId="0" fontId="27" fillId="7" borderId="0" xfId="0" applyFont="1" applyFill="1" applyAlignment="1">
      <alignment horizontal="left" vertical="center"/>
    </xf>
    <xf numFmtId="0" fontId="27" fillId="7" borderId="6" xfId="0" applyFont="1" applyFill="1" applyBorder="1" applyAlignment="1">
      <alignment horizontal="left" vertical="center"/>
    </xf>
    <xf numFmtId="0" fontId="7" fillId="7" borderId="31" xfId="0" applyFont="1" applyFill="1" applyBorder="1" applyAlignment="1">
      <alignment vertical="center"/>
    </xf>
    <xf numFmtId="0" fontId="7" fillId="7" borderId="34" xfId="0" applyFont="1" applyFill="1" applyBorder="1" applyAlignment="1">
      <alignment vertical="center"/>
    </xf>
    <xf numFmtId="0" fontId="7" fillId="7" borderId="0" xfId="0" applyFont="1" applyFill="1" applyAlignment="1">
      <alignment vertical="center"/>
    </xf>
    <xf numFmtId="0" fontId="7" fillId="7" borderId="25" xfId="0" applyFont="1" applyFill="1" applyBorder="1" applyAlignment="1">
      <alignment vertical="center"/>
    </xf>
    <xf numFmtId="0" fontId="16" fillId="7" borderId="37" xfId="0" applyFont="1" applyFill="1" applyBorder="1" applyAlignment="1">
      <alignment vertical="center"/>
    </xf>
    <xf numFmtId="0" fontId="16" fillId="7" borderId="4" xfId="0" applyFont="1" applyFill="1" applyBorder="1" applyAlignment="1">
      <alignment vertical="center"/>
    </xf>
    <xf numFmtId="0" fontId="16" fillId="7" borderId="3" xfId="0" applyFont="1" applyFill="1" applyBorder="1" applyAlignment="1">
      <alignment vertical="center"/>
    </xf>
    <xf numFmtId="0" fontId="9" fillId="5" borderId="37" xfId="1" applyFont="1" applyFill="1" applyBorder="1" applyAlignment="1">
      <alignment vertical="center"/>
    </xf>
    <xf numFmtId="0" fontId="9" fillId="5" borderId="4" xfId="1" applyFont="1" applyFill="1" applyBorder="1" applyAlignment="1">
      <alignment vertical="center"/>
    </xf>
    <xf numFmtId="0" fontId="9" fillId="5" borderId="40" xfId="1" applyFont="1" applyFill="1" applyBorder="1" applyAlignment="1">
      <alignment vertical="center"/>
    </xf>
    <xf numFmtId="0" fontId="34" fillId="6" borderId="52" xfId="0" applyFont="1" applyFill="1" applyBorder="1" applyAlignment="1" applyProtection="1">
      <alignment horizontal="left" vertical="center" wrapText="1"/>
      <protection locked="0"/>
    </xf>
    <xf numFmtId="0" fontId="34" fillId="6" borderId="51" xfId="0" applyFont="1" applyFill="1" applyBorder="1" applyAlignment="1" applyProtection="1">
      <alignment horizontal="left" vertical="center" wrapText="1"/>
      <protection locked="0"/>
    </xf>
    <xf numFmtId="0" fontId="34" fillId="6" borderId="50" xfId="0" applyFont="1" applyFill="1" applyBorder="1" applyAlignment="1" applyProtection="1">
      <alignment horizontal="left" vertical="center" wrapText="1"/>
      <protection locked="0"/>
    </xf>
    <xf numFmtId="0" fontId="4" fillId="0" borderId="49" xfId="1" applyFont="1" applyBorder="1" applyAlignment="1">
      <alignment horizontal="left" vertical="center"/>
    </xf>
    <xf numFmtId="0" fontId="10" fillId="7" borderId="37" xfId="0" applyFont="1" applyFill="1" applyBorder="1" applyAlignment="1">
      <alignment vertical="center"/>
    </xf>
    <xf numFmtId="0" fontId="10" fillId="7" borderId="4" xfId="0" applyFont="1" applyFill="1" applyBorder="1" applyAlignment="1">
      <alignment vertical="center"/>
    </xf>
    <xf numFmtId="0" fontId="10" fillId="7" borderId="3" xfId="0" applyFont="1" applyFill="1" applyBorder="1" applyAlignment="1">
      <alignment vertical="center"/>
    </xf>
    <xf numFmtId="0" fontId="18" fillId="4" borderId="4" xfId="1" applyFont="1" applyFill="1" applyBorder="1" applyAlignment="1">
      <alignment vertical="center"/>
    </xf>
    <xf numFmtId="0" fontId="18" fillId="4" borderId="40" xfId="1" applyFont="1" applyFill="1" applyBorder="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8" fillId="7" borderId="18" xfId="0" applyFont="1" applyFill="1" applyBorder="1" applyAlignment="1">
      <alignment horizontal="center" vertical="center"/>
    </xf>
    <xf numFmtId="0" fontId="8" fillId="7" borderId="42" xfId="0" applyFont="1" applyFill="1" applyBorder="1" applyAlignment="1">
      <alignment horizontal="center" vertical="center"/>
    </xf>
    <xf numFmtId="0" fontId="8" fillId="7" borderId="14" xfId="0" applyFont="1" applyFill="1" applyBorder="1" applyAlignment="1">
      <alignment horizontal="center" vertical="center"/>
    </xf>
    <xf numFmtId="0" fontId="34" fillId="6" borderId="43" xfId="0" applyFont="1" applyFill="1" applyBorder="1" applyAlignment="1" applyProtection="1">
      <alignment horizontal="left" vertical="center" wrapText="1"/>
      <protection locked="0"/>
    </xf>
    <xf numFmtId="0" fontId="38" fillId="9" borderId="64" xfId="0" applyFont="1" applyFill="1" applyBorder="1" applyAlignment="1">
      <alignment horizontal="left" vertical="center" wrapText="1" readingOrder="1"/>
    </xf>
    <xf numFmtId="0" fontId="38" fillId="9" borderId="63" xfId="0" applyFont="1" applyFill="1" applyBorder="1" applyAlignment="1">
      <alignment horizontal="left" vertical="center" wrapText="1" readingOrder="1"/>
    </xf>
    <xf numFmtId="0" fontId="38" fillId="9" borderId="62" xfId="0" applyFont="1" applyFill="1" applyBorder="1" applyAlignment="1">
      <alignment horizontal="left" vertical="center" wrapText="1" readingOrder="1"/>
    </xf>
    <xf numFmtId="0" fontId="38" fillId="9" borderId="60" xfId="0" applyFont="1" applyFill="1" applyBorder="1" applyAlignment="1">
      <alignment horizontal="left" vertical="center" wrapText="1" readingOrder="1"/>
    </xf>
    <xf numFmtId="0" fontId="38" fillId="9" borderId="57" xfId="0" applyFont="1" applyFill="1" applyBorder="1" applyAlignment="1">
      <alignment horizontal="left" vertical="center" wrapText="1" readingOrder="1"/>
    </xf>
    <xf numFmtId="0" fontId="0" fillId="12" borderId="12" xfId="0" applyFill="1" applyBorder="1" applyAlignment="1">
      <alignment horizontal="center" vertical="center"/>
    </xf>
    <xf numFmtId="0" fontId="41" fillId="0" borderId="12" xfId="0" applyFont="1" applyBorder="1" applyAlignment="1">
      <alignment horizontal="justify" vertical="center" wrapText="1"/>
    </xf>
    <xf numFmtId="0" fontId="42" fillId="0" borderId="12"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15" xfId="0" applyFont="1" applyBorder="1" applyAlignment="1">
      <alignment horizontal="center" vertical="center" wrapText="1"/>
    </xf>
    <xf numFmtId="0" fontId="43" fillId="0" borderId="24" xfId="0" applyFont="1" applyBorder="1" applyAlignment="1">
      <alignment horizontal="center" vertical="center" wrapText="1"/>
    </xf>
    <xf numFmtId="0" fontId="6" fillId="13" borderId="12" xfId="0" applyFont="1" applyFill="1" applyBorder="1" applyAlignment="1">
      <alignment horizontal="center" vertical="center"/>
    </xf>
    <xf numFmtId="0" fontId="42" fillId="13" borderId="28" xfId="0" applyFont="1" applyFill="1" applyBorder="1" applyAlignment="1">
      <alignment horizontal="center" vertical="center" wrapText="1"/>
    </xf>
    <xf numFmtId="0" fontId="42" fillId="13" borderId="19" xfId="0" applyFont="1" applyFill="1" applyBorder="1" applyAlignment="1">
      <alignment horizontal="center" vertical="center" wrapText="1"/>
    </xf>
    <xf numFmtId="0" fontId="41" fillId="0" borderId="12" xfId="0" applyFont="1" applyBorder="1" applyAlignment="1">
      <alignment horizontal="right" vertical="center" wrapText="1"/>
    </xf>
    <xf numFmtId="0" fontId="44" fillId="13" borderId="12" xfId="0" applyFont="1" applyFill="1" applyBorder="1" applyAlignment="1">
      <alignment horizontal="center" vertical="center"/>
    </xf>
    <xf numFmtId="0" fontId="0" fillId="13" borderId="12" xfId="0" applyFill="1" applyBorder="1" applyAlignment="1">
      <alignment horizontal="center"/>
    </xf>
    <xf numFmtId="0" fontId="42" fillId="13" borderId="12" xfId="0" applyFont="1" applyFill="1" applyBorder="1" applyAlignment="1">
      <alignment horizontal="center" vertical="center" wrapText="1"/>
    </xf>
    <xf numFmtId="0" fontId="0" fillId="0" borderId="0" xfId="0" applyAlignment="1">
      <alignment vertical="center"/>
    </xf>
    <xf numFmtId="0" fontId="0" fillId="12" borderId="12" xfId="0" applyFill="1" applyBorder="1" applyAlignment="1">
      <alignment vertical="center"/>
    </xf>
    <xf numFmtId="0" fontId="41" fillId="0" borderId="12" xfId="0" applyFont="1" applyBorder="1" applyAlignment="1">
      <alignment horizontal="right" vertical="center" wrapText="1"/>
    </xf>
    <xf numFmtId="0" fontId="45" fillId="13" borderId="12" xfId="0" applyFont="1" applyFill="1" applyBorder="1" applyAlignment="1">
      <alignment horizontal="center" vertical="center" wrapText="1"/>
    </xf>
    <xf numFmtId="0" fontId="41" fillId="0" borderId="43" xfId="0" applyFont="1" applyBorder="1" applyAlignment="1">
      <alignment horizontal="left" vertical="center" wrapText="1"/>
    </xf>
    <xf numFmtId="0" fontId="41" fillId="0" borderId="19" xfId="0" applyFont="1" applyBorder="1" applyAlignment="1">
      <alignment horizontal="left" vertical="center" wrapText="1"/>
    </xf>
    <xf numFmtId="0" fontId="38" fillId="10" borderId="65" xfId="0" applyFont="1" applyFill="1" applyBorder="1" applyAlignment="1">
      <alignment vertical="center" wrapText="1"/>
    </xf>
    <xf numFmtId="0" fontId="38" fillId="10" borderId="70" xfId="0" applyFont="1" applyFill="1" applyBorder="1" applyAlignment="1">
      <alignment vertical="center" wrapText="1"/>
    </xf>
    <xf numFmtId="0" fontId="38" fillId="10" borderId="70" xfId="0" applyFont="1" applyFill="1" applyBorder="1" applyAlignment="1">
      <alignment horizontal="center" vertical="center" wrapText="1"/>
    </xf>
    <xf numFmtId="0" fontId="38" fillId="9" borderId="71" xfId="0" applyFont="1" applyFill="1" applyBorder="1" applyAlignment="1">
      <alignment vertical="center" wrapText="1"/>
    </xf>
    <xf numFmtId="0" fontId="0" fillId="9" borderId="71" xfId="0" applyFill="1" applyBorder="1" applyAlignment="1">
      <alignment vertical="center" wrapText="1"/>
    </xf>
    <xf numFmtId="0" fontId="0" fillId="9" borderId="65" xfId="0" applyFill="1" applyBorder="1" applyAlignment="1">
      <alignment vertical="center" wrapText="1"/>
    </xf>
    <xf numFmtId="0" fontId="37" fillId="9" borderId="72" xfId="0" applyFont="1" applyFill="1" applyBorder="1" applyAlignment="1">
      <alignment vertical="center" wrapText="1"/>
    </xf>
    <xf numFmtId="0" fontId="37" fillId="9" borderId="70" xfId="0" applyFont="1" applyFill="1" applyBorder="1" applyAlignment="1">
      <alignment vertical="center" wrapText="1"/>
    </xf>
    <xf numFmtId="0" fontId="37" fillId="9" borderId="72" xfId="0" applyFont="1" applyFill="1" applyBorder="1" applyAlignment="1">
      <alignment horizontal="center" vertical="center" wrapText="1"/>
    </xf>
    <xf numFmtId="0" fontId="0" fillId="9" borderId="72" xfId="0" applyFill="1" applyBorder="1" applyAlignment="1">
      <alignment vertical="center" wrapText="1"/>
    </xf>
    <xf numFmtId="0" fontId="0" fillId="9" borderId="70" xfId="0" applyFill="1" applyBorder="1" applyAlignment="1">
      <alignment vertical="center" wrapText="1"/>
    </xf>
    <xf numFmtId="0" fontId="47" fillId="14" borderId="67" xfId="0" applyFont="1" applyFill="1" applyBorder="1" applyAlignment="1">
      <alignment horizontal="center" vertical="center" wrapText="1"/>
    </xf>
    <xf numFmtId="0" fontId="47" fillId="14" borderId="68" xfId="0" applyFont="1" applyFill="1" applyBorder="1" applyAlignment="1">
      <alignment horizontal="center" vertical="center" wrapText="1"/>
    </xf>
    <xf numFmtId="0" fontId="47" fillId="14" borderId="69" xfId="0" applyFont="1" applyFill="1" applyBorder="1" applyAlignment="1">
      <alignment horizontal="center" vertical="center" wrapText="1"/>
    </xf>
    <xf numFmtId="0" fontId="48" fillId="0" borderId="0" xfId="0" applyFont="1" applyAlignment="1">
      <alignment vertical="center"/>
    </xf>
  </cellXfs>
  <cellStyles count="5">
    <cellStyle name="Comma" xfId="2" builtinId="3"/>
    <cellStyle name="Comma 2" xfId="4" xr:uid="{00000000-0005-0000-0000-000001000000}"/>
    <cellStyle name="Normal" xfId="0" builtinId="0"/>
    <cellStyle name="Normal 2" xfId="3" xr:uid="{00000000-0005-0000-0000-000003000000}"/>
    <cellStyle name="Normal 3"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60550</xdr:colOff>
      <xdr:row>0</xdr:row>
      <xdr:rowOff>0</xdr:rowOff>
    </xdr:from>
    <xdr:ext cx="2522632" cy="1409700"/>
    <xdr:pic>
      <xdr:nvPicPr>
        <xdr:cNvPr id="4" name="Picture 3">
          <a:extLst>
            <a:ext uri="{FF2B5EF4-FFF2-40B4-BE49-F238E27FC236}">
              <a16:creationId xmlns:a16="http://schemas.microsoft.com/office/drawing/2014/main" id="{61D1D321-E45A-417C-8EAF-682C92D39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10890" y="0"/>
          <a:ext cx="2522632" cy="14097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60550</xdr:colOff>
      <xdr:row>0</xdr:row>
      <xdr:rowOff>0</xdr:rowOff>
    </xdr:from>
    <xdr:ext cx="2050190" cy="1145689"/>
    <xdr:pic>
      <xdr:nvPicPr>
        <xdr:cNvPr id="2" name="Picture 1">
          <a:extLst>
            <a:ext uri="{FF2B5EF4-FFF2-40B4-BE49-F238E27FC236}">
              <a16:creationId xmlns:a16="http://schemas.microsoft.com/office/drawing/2014/main" id="{0DE08156-3C7E-49EB-BA52-CD4F30196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27750" y="0"/>
          <a:ext cx="2050190" cy="114568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3EB2-74F3-4056-B485-DF7264D70F7E}">
  <sheetPr>
    <pageSetUpPr fitToPage="1"/>
  </sheetPr>
  <dimension ref="A1:K95"/>
  <sheetViews>
    <sheetView tabSelected="1" zoomScaleNormal="100" workbookViewId="0">
      <selection activeCell="D66" sqref="D66"/>
    </sheetView>
  </sheetViews>
  <sheetFormatPr defaultRowHeight="15" x14ac:dyDescent="0.25"/>
  <cols>
    <col min="1" max="1" width="60.5703125" customWidth="1"/>
    <col min="2" max="2" width="18.7109375" customWidth="1"/>
    <col min="3" max="3" width="9.85546875" customWidth="1"/>
    <col min="4" max="4" width="6.5703125" bestFit="1" customWidth="1"/>
    <col min="5" max="5" width="11.140625" customWidth="1"/>
    <col min="6" max="6" width="20.42578125" customWidth="1"/>
    <col min="7" max="7" width="14.5703125" customWidth="1"/>
    <col min="8" max="8" width="17.28515625" bestFit="1" customWidth="1"/>
    <col min="9" max="9" width="62" customWidth="1"/>
    <col min="10" max="10" width="28.7109375" customWidth="1"/>
    <col min="11" max="11" width="10.5703125" customWidth="1"/>
    <col min="12" max="12" width="27.140625" customWidth="1"/>
  </cols>
  <sheetData>
    <row r="1" spans="1:11" ht="23.45" customHeight="1" x14ac:dyDescent="0.25">
      <c r="A1" s="257" t="s">
        <v>22</v>
      </c>
      <c r="B1" s="258"/>
      <c r="C1" s="258"/>
      <c r="D1" s="258"/>
      <c r="E1" s="259"/>
      <c r="F1" s="266"/>
      <c r="G1" s="267"/>
      <c r="H1" s="267"/>
      <c r="I1" s="268"/>
      <c r="J1" s="1"/>
      <c r="K1" s="1"/>
    </row>
    <row r="2" spans="1:11" ht="23.45" customHeight="1" x14ac:dyDescent="0.25">
      <c r="A2" s="260"/>
      <c r="B2" s="261"/>
      <c r="C2" s="261"/>
      <c r="D2" s="261"/>
      <c r="E2" s="262"/>
      <c r="F2" s="269"/>
      <c r="G2" s="270"/>
      <c r="H2" s="270"/>
      <c r="I2" s="271"/>
      <c r="J2" s="1"/>
      <c r="K2" s="1"/>
    </row>
    <row r="3" spans="1:11" ht="23.45" customHeight="1" x14ac:dyDescent="0.25">
      <c r="A3" s="260"/>
      <c r="B3" s="261"/>
      <c r="C3" s="261"/>
      <c r="D3" s="261"/>
      <c r="E3" s="262"/>
      <c r="F3" s="269"/>
      <c r="G3" s="270"/>
      <c r="H3" s="270"/>
      <c r="I3" s="271"/>
      <c r="J3" s="1"/>
      <c r="K3" s="1"/>
    </row>
    <row r="4" spans="1:11" ht="23.45" customHeight="1" x14ac:dyDescent="0.25">
      <c r="A4" s="260"/>
      <c r="B4" s="261"/>
      <c r="C4" s="261"/>
      <c r="D4" s="261"/>
      <c r="E4" s="262"/>
      <c r="F4" s="269"/>
      <c r="G4" s="270"/>
      <c r="H4" s="270"/>
      <c r="I4" s="271"/>
      <c r="J4" s="1"/>
      <c r="K4" s="1"/>
    </row>
    <row r="5" spans="1:11" ht="23.45" customHeight="1" x14ac:dyDescent="0.25">
      <c r="A5" s="263"/>
      <c r="B5" s="264"/>
      <c r="C5" s="264"/>
      <c r="D5" s="264"/>
      <c r="E5" s="265"/>
      <c r="F5" s="272"/>
      <c r="G5" s="273"/>
      <c r="H5" s="273"/>
      <c r="I5" s="274"/>
      <c r="J5" s="1"/>
      <c r="K5" s="1"/>
    </row>
    <row r="6" spans="1:11" ht="18.75" x14ac:dyDescent="0.25">
      <c r="A6" s="275" t="s">
        <v>10</v>
      </c>
      <c r="B6" s="276"/>
      <c r="C6" s="276"/>
      <c r="D6" s="276"/>
      <c r="E6" s="277"/>
      <c r="F6" s="20" t="s">
        <v>19</v>
      </c>
      <c r="G6" s="21"/>
      <c r="H6" s="15"/>
      <c r="I6" s="25" t="s">
        <v>18</v>
      </c>
      <c r="J6" s="255" t="s">
        <v>2</v>
      </c>
      <c r="K6" s="256"/>
    </row>
    <row r="7" spans="1:11" x14ac:dyDescent="0.25">
      <c r="A7" s="238" t="s">
        <v>15</v>
      </c>
      <c r="B7" s="239"/>
      <c r="C7" s="239"/>
      <c r="D7" s="239"/>
      <c r="E7" s="240"/>
      <c r="F7" s="235" t="s">
        <v>23</v>
      </c>
      <c r="G7" s="236"/>
      <c r="H7" s="237"/>
      <c r="I7" s="26" t="s">
        <v>26</v>
      </c>
      <c r="J7" s="49" t="s">
        <v>3</v>
      </c>
      <c r="K7" s="16" t="s">
        <v>6</v>
      </c>
    </row>
    <row r="8" spans="1:11" x14ac:dyDescent="0.25">
      <c r="A8" s="238" t="s">
        <v>16</v>
      </c>
      <c r="B8" s="239"/>
      <c r="C8" s="239"/>
      <c r="D8" s="239"/>
      <c r="E8" s="240"/>
      <c r="F8" s="235" t="s">
        <v>24</v>
      </c>
      <c r="G8" s="236"/>
      <c r="H8" s="237"/>
      <c r="I8" s="26" t="s">
        <v>31</v>
      </c>
      <c r="J8" s="49" t="s">
        <v>4</v>
      </c>
      <c r="K8" s="16" t="s">
        <v>85</v>
      </c>
    </row>
    <row r="9" spans="1:11" x14ac:dyDescent="0.25">
      <c r="A9" s="238" t="s">
        <v>17</v>
      </c>
      <c r="B9" s="239"/>
      <c r="C9" s="239"/>
      <c r="D9" s="239"/>
      <c r="E9" s="240"/>
      <c r="F9" s="235" t="s">
        <v>25</v>
      </c>
      <c r="G9" s="236"/>
      <c r="H9" s="237"/>
      <c r="I9" s="26" t="s">
        <v>12</v>
      </c>
      <c r="J9" s="49" t="s">
        <v>5</v>
      </c>
      <c r="K9" s="17">
        <v>92</v>
      </c>
    </row>
    <row r="10" spans="1:11" x14ac:dyDescent="0.25">
      <c r="A10" s="238" t="s">
        <v>84</v>
      </c>
      <c r="B10" s="239"/>
      <c r="C10" s="239"/>
      <c r="D10" s="239"/>
      <c r="E10" s="240"/>
      <c r="F10" s="235" t="s">
        <v>13</v>
      </c>
      <c r="G10" s="236"/>
      <c r="H10" s="237"/>
      <c r="I10" s="26" t="s">
        <v>74</v>
      </c>
      <c r="J10" s="50" t="s">
        <v>7</v>
      </c>
      <c r="K10" s="19">
        <v>20</v>
      </c>
    </row>
    <row r="11" spans="1:11" x14ac:dyDescent="0.25">
      <c r="A11" s="238" t="s">
        <v>11</v>
      </c>
      <c r="B11" s="239"/>
      <c r="C11" s="239"/>
      <c r="D11" s="239"/>
      <c r="E11" s="240"/>
      <c r="F11" s="235" t="s">
        <v>14</v>
      </c>
      <c r="G11" s="236"/>
      <c r="H11" s="237"/>
      <c r="I11" s="26"/>
      <c r="J11" s="18" t="s">
        <v>65</v>
      </c>
      <c r="K11" s="19">
        <v>10</v>
      </c>
    </row>
    <row r="12" spans="1:11" ht="23.25" x14ac:dyDescent="0.25">
      <c r="A12" s="32" t="s">
        <v>138</v>
      </c>
      <c r="B12" s="22"/>
      <c r="C12" s="22"/>
      <c r="D12" s="22"/>
      <c r="E12" s="22"/>
      <c r="F12" s="241"/>
      <c r="G12" s="242"/>
      <c r="H12" s="242"/>
      <c r="I12" s="243"/>
      <c r="J12" s="1"/>
      <c r="K12" s="1"/>
    </row>
    <row r="13" spans="1:11" ht="34.15" customHeight="1" x14ac:dyDescent="0.25">
      <c r="A13" s="244" t="s">
        <v>87</v>
      </c>
      <c r="B13" s="245"/>
      <c r="C13" s="245"/>
      <c r="D13" s="245"/>
      <c r="E13" s="245"/>
      <c r="F13" s="245"/>
      <c r="G13" s="245"/>
      <c r="H13" s="245"/>
      <c r="I13" s="246"/>
    </row>
    <row r="14" spans="1:11" ht="44.25" customHeight="1" x14ac:dyDescent="0.25">
      <c r="A14" s="27" t="s">
        <v>20</v>
      </c>
      <c r="B14" s="23" t="s">
        <v>0</v>
      </c>
      <c r="C14" s="23" t="s">
        <v>27</v>
      </c>
      <c r="D14" s="23" t="s">
        <v>21</v>
      </c>
      <c r="E14" s="23" t="s">
        <v>151</v>
      </c>
      <c r="F14" s="23" t="s">
        <v>9</v>
      </c>
      <c r="G14" s="24" t="s">
        <v>28</v>
      </c>
      <c r="H14" s="24" t="s">
        <v>30</v>
      </c>
      <c r="I14" s="28" t="s">
        <v>1</v>
      </c>
    </row>
    <row r="15" spans="1:11" ht="15.75" x14ac:dyDescent="0.25">
      <c r="A15" s="46"/>
      <c r="B15" s="51"/>
      <c r="C15" s="51"/>
      <c r="D15" s="51"/>
      <c r="E15" s="51"/>
      <c r="F15" s="51"/>
      <c r="G15" s="52"/>
      <c r="H15" s="52"/>
      <c r="I15" s="47"/>
    </row>
    <row r="16" spans="1:11" ht="19.5" thickBot="1" x14ac:dyDescent="0.3">
      <c r="A16" s="33" t="s">
        <v>29</v>
      </c>
      <c r="B16" s="31" t="str">
        <f>K8</f>
        <v>INR</v>
      </c>
      <c r="C16" s="53"/>
      <c r="D16" s="53"/>
      <c r="E16" s="53"/>
      <c r="F16" s="53"/>
      <c r="G16" s="54"/>
      <c r="H16" s="54"/>
      <c r="I16" s="29"/>
    </row>
    <row r="17" spans="1:9" ht="145.5" customHeight="1" x14ac:dyDescent="0.25">
      <c r="A17" s="64" t="s">
        <v>66</v>
      </c>
      <c r="B17" s="65" t="s">
        <v>80</v>
      </c>
      <c r="C17" s="37">
        <v>0</v>
      </c>
      <c r="D17" s="66">
        <v>2.7</v>
      </c>
      <c r="E17" s="38">
        <f>D17*K9</f>
        <v>248.4</v>
      </c>
      <c r="F17" s="67">
        <f>C17*E17</f>
        <v>0</v>
      </c>
      <c r="G17" s="59">
        <f>E17-(E17*$K$10%)</f>
        <v>198.72</v>
      </c>
      <c r="H17" s="59">
        <f>F17-(F17*$K$10%)</f>
        <v>0</v>
      </c>
      <c r="I17" s="68" t="s">
        <v>67</v>
      </c>
    </row>
    <row r="18" spans="1:9" ht="20.45" customHeight="1" thickBot="1" x14ac:dyDescent="0.3">
      <c r="A18" s="69"/>
      <c r="B18" s="5"/>
      <c r="C18" s="6"/>
      <c r="D18" s="70"/>
      <c r="E18" s="35"/>
      <c r="F18" s="7"/>
      <c r="G18" s="9"/>
      <c r="H18" s="9"/>
      <c r="I18" s="71"/>
    </row>
    <row r="19" spans="1:9" ht="52.15" customHeight="1" x14ac:dyDescent="0.25">
      <c r="A19" s="42" t="s">
        <v>76</v>
      </c>
      <c r="B19" s="5"/>
      <c r="C19" s="6"/>
      <c r="D19" s="72"/>
      <c r="E19" s="35"/>
      <c r="F19" s="7"/>
      <c r="G19" s="9"/>
      <c r="H19" s="9"/>
      <c r="I19" s="68" t="s">
        <v>100</v>
      </c>
    </row>
    <row r="20" spans="1:9" ht="25.15" customHeight="1" x14ac:dyDescent="0.25">
      <c r="A20" s="73" t="s">
        <v>60</v>
      </c>
      <c r="B20" s="65" t="s">
        <v>80</v>
      </c>
      <c r="C20" s="2">
        <v>0</v>
      </c>
      <c r="D20" s="74">
        <v>1.5</v>
      </c>
      <c r="E20" s="34">
        <f>D20*K9</f>
        <v>138</v>
      </c>
      <c r="F20" s="57">
        <f>C20*E20</f>
        <v>0</v>
      </c>
      <c r="G20" s="58">
        <f t="shared" ref="G20:H24" si="0">E20-(E20*$K$10%)</f>
        <v>110.4</v>
      </c>
      <c r="H20" s="58">
        <f t="shared" si="0"/>
        <v>0</v>
      </c>
      <c r="I20" s="252"/>
    </row>
    <row r="21" spans="1:9" ht="31.9" customHeight="1" x14ac:dyDescent="0.25">
      <c r="A21" s="73" t="s">
        <v>61</v>
      </c>
      <c r="B21" s="65" t="s">
        <v>80</v>
      </c>
      <c r="C21" s="2">
        <v>0</v>
      </c>
      <c r="D21" s="74">
        <v>4.25</v>
      </c>
      <c r="E21" s="34">
        <f>D21*K9</f>
        <v>391</v>
      </c>
      <c r="F21" s="57">
        <f t="shared" ref="F21:F24" si="1">C21*E21</f>
        <v>0</v>
      </c>
      <c r="G21" s="58">
        <f t="shared" si="0"/>
        <v>312.8</v>
      </c>
      <c r="H21" s="58">
        <f t="shared" si="0"/>
        <v>0</v>
      </c>
      <c r="I21" s="253"/>
    </row>
    <row r="22" spans="1:9" ht="25.15" customHeight="1" x14ac:dyDescent="0.25">
      <c r="A22" s="73" t="s">
        <v>62</v>
      </c>
      <c r="B22" s="65" t="s">
        <v>80</v>
      </c>
      <c r="C22" s="2">
        <v>0</v>
      </c>
      <c r="D22" s="74">
        <v>10</v>
      </c>
      <c r="E22" s="34">
        <f>D22*K9</f>
        <v>920</v>
      </c>
      <c r="F22" s="57">
        <f t="shared" si="1"/>
        <v>0</v>
      </c>
      <c r="G22" s="58">
        <f t="shared" si="0"/>
        <v>736</v>
      </c>
      <c r="H22" s="58">
        <f t="shared" si="0"/>
        <v>0</v>
      </c>
      <c r="I22" s="253"/>
    </row>
    <row r="23" spans="1:9" ht="25.15" customHeight="1" x14ac:dyDescent="0.25">
      <c r="A23" s="73" t="s">
        <v>63</v>
      </c>
      <c r="B23" s="65" t="s">
        <v>80</v>
      </c>
      <c r="C23" s="2">
        <v>0</v>
      </c>
      <c r="D23" s="74">
        <v>18.5</v>
      </c>
      <c r="E23" s="34">
        <f>D23*K9</f>
        <v>1702</v>
      </c>
      <c r="F23" s="57">
        <f t="shared" si="1"/>
        <v>0</v>
      </c>
      <c r="G23" s="58">
        <f t="shared" si="0"/>
        <v>1361.6</v>
      </c>
      <c r="H23" s="58">
        <f t="shared" si="0"/>
        <v>0</v>
      </c>
      <c r="I23" s="253"/>
    </row>
    <row r="24" spans="1:9" ht="25.15" customHeight="1" x14ac:dyDescent="0.25">
      <c r="A24" s="75" t="s">
        <v>64</v>
      </c>
      <c r="B24" s="65" t="s">
        <v>80</v>
      </c>
      <c r="C24" s="37">
        <v>0</v>
      </c>
      <c r="D24" s="74">
        <v>36</v>
      </c>
      <c r="E24" s="38">
        <f>D24*K9</f>
        <v>3312</v>
      </c>
      <c r="F24" s="67">
        <f t="shared" si="1"/>
        <v>0</v>
      </c>
      <c r="G24" s="59">
        <f t="shared" si="0"/>
        <v>2649.6</v>
      </c>
      <c r="H24" s="59">
        <f t="shared" si="0"/>
        <v>0</v>
      </c>
      <c r="I24" s="254"/>
    </row>
    <row r="25" spans="1:9" ht="20.45" customHeight="1" x14ac:dyDescent="0.25">
      <c r="A25" s="76"/>
      <c r="B25" s="5"/>
      <c r="C25" s="6"/>
      <c r="D25" s="77"/>
      <c r="E25" s="35"/>
      <c r="F25" s="43"/>
      <c r="G25" s="44"/>
      <c r="H25" s="9"/>
      <c r="I25" s="45"/>
    </row>
    <row r="26" spans="1:9" ht="25.9" customHeight="1" x14ac:dyDescent="0.25">
      <c r="A26" s="42" t="s">
        <v>88</v>
      </c>
      <c r="B26" s="5"/>
      <c r="C26" s="6"/>
      <c r="D26" s="72"/>
      <c r="E26" s="35"/>
      <c r="F26" s="7"/>
      <c r="G26" s="8"/>
      <c r="H26" s="9"/>
      <c r="I26" s="36"/>
    </row>
    <row r="27" spans="1:9" ht="25.15" customHeight="1" x14ac:dyDescent="0.25">
      <c r="A27" s="78" t="s">
        <v>77</v>
      </c>
      <c r="B27" s="79" t="s">
        <v>75</v>
      </c>
      <c r="C27" s="4">
        <v>0</v>
      </c>
      <c r="D27" s="80">
        <v>71.5</v>
      </c>
      <c r="E27" s="10">
        <f>D27*K9</f>
        <v>6578</v>
      </c>
      <c r="F27" s="107">
        <f>C27*E27</f>
        <v>0</v>
      </c>
      <c r="G27" s="60">
        <f t="shared" ref="G27:H29" si="2">E27-(E27*$K$10%)</f>
        <v>5262.4</v>
      </c>
      <c r="H27" s="62">
        <f t="shared" si="2"/>
        <v>0</v>
      </c>
      <c r="I27" s="39"/>
    </row>
    <row r="28" spans="1:9" ht="25.15" customHeight="1" x14ac:dyDescent="0.25">
      <c r="A28" s="81" t="s">
        <v>78</v>
      </c>
      <c r="B28" s="79" t="s">
        <v>75</v>
      </c>
      <c r="C28" s="11">
        <v>0</v>
      </c>
      <c r="D28" s="82">
        <v>0.75</v>
      </c>
      <c r="E28" s="12">
        <f>D28*K9</f>
        <v>69</v>
      </c>
      <c r="F28" s="91">
        <f>C28*E28</f>
        <v>0</v>
      </c>
      <c r="G28" s="61">
        <f t="shared" si="2"/>
        <v>55.2</v>
      </c>
      <c r="H28" s="63">
        <f t="shared" si="2"/>
        <v>0</v>
      </c>
      <c r="I28" s="3"/>
    </row>
    <row r="29" spans="1:9" ht="25.15" customHeight="1" x14ac:dyDescent="0.25">
      <c r="A29" s="81" t="s">
        <v>79</v>
      </c>
      <c r="B29" s="79" t="s">
        <v>75</v>
      </c>
      <c r="C29" s="41">
        <v>0</v>
      </c>
      <c r="D29" s="82">
        <v>0.75</v>
      </c>
      <c r="E29" s="12">
        <f>D29*K9</f>
        <v>69</v>
      </c>
      <c r="F29" s="91">
        <f t="shared" ref="F29" si="3">C29*E29</f>
        <v>0</v>
      </c>
      <c r="G29" s="61">
        <f t="shared" si="2"/>
        <v>55.2</v>
      </c>
      <c r="H29" s="63">
        <f t="shared" si="2"/>
        <v>0</v>
      </c>
      <c r="I29" s="40"/>
    </row>
    <row r="30" spans="1:9" x14ac:dyDescent="0.25">
      <c r="A30" s="83"/>
      <c r="B30" s="13"/>
      <c r="C30" s="13"/>
      <c r="D30" s="13"/>
      <c r="E30" s="84"/>
      <c r="F30" s="85"/>
      <c r="G30" s="86"/>
      <c r="H30" s="87"/>
      <c r="I30" s="88"/>
    </row>
    <row r="31" spans="1:9" ht="18.600000000000001" customHeight="1" x14ac:dyDescent="0.25">
      <c r="A31" s="89" t="s">
        <v>56</v>
      </c>
      <c r="B31" s="14"/>
      <c r="C31" s="14"/>
      <c r="D31" s="14"/>
      <c r="E31" s="90"/>
      <c r="F31" s="91">
        <f>SUM(F17:F29)</f>
        <v>0</v>
      </c>
      <c r="G31" s="92"/>
      <c r="H31" s="61">
        <f>F31-(F31*$K$10%)</f>
        <v>0</v>
      </c>
      <c r="I31" s="280"/>
    </row>
    <row r="32" spans="1:9" ht="17.45" customHeight="1" x14ac:dyDescent="0.25">
      <c r="A32" s="89" t="s">
        <v>32</v>
      </c>
      <c r="B32" s="14"/>
      <c r="C32" s="14"/>
      <c r="D32" s="14"/>
      <c r="E32" s="90"/>
      <c r="F32" s="93">
        <v>12</v>
      </c>
      <c r="G32" s="94"/>
      <c r="H32" s="61">
        <f>F32</f>
        <v>12</v>
      </c>
      <c r="I32" s="281"/>
    </row>
    <row r="33" spans="1:9" ht="18.600000000000001" customHeight="1" x14ac:dyDescent="0.25">
      <c r="A33" s="89" t="s">
        <v>33</v>
      </c>
      <c r="B33" s="14"/>
      <c r="C33" s="14"/>
      <c r="D33" s="14"/>
      <c r="E33" s="90"/>
      <c r="F33" s="93">
        <f>F31*F32</f>
        <v>0</v>
      </c>
      <c r="G33" s="95"/>
      <c r="H33" s="61">
        <f>H31*H32</f>
        <v>0</v>
      </c>
      <c r="I33" s="282"/>
    </row>
    <row r="34" spans="1:9" x14ac:dyDescent="0.25">
      <c r="A34" s="96"/>
      <c r="B34" s="14"/>
      <c r="C34" s="14"/>
      <c r="D34" s="14"/>
      <c r="E34" s="14"/>
      <c r="F34" s="97"/>
      <c r="G34" s="98"/>
      <c r="H34" s="99"/>
      <c r="I34" s="100"/>
    </row>
    <row r="35" spans="1:9" ht="20.45" customHeight="1" thickBot="1" x14ac:dyDescent="0.3">
      <c r="A35" s="101" t="s">
        <v>101</v>
      </c>
      <c r="B35" s="14"/>
      <c r="C35" s="14"/>
      <c r="D35" s="14"/>
      <c r="E35" s="14"/>
      <c r="F35" s="102" t="s">
        <v>35</v>
      </c>
      <c r="G35" s="103"/>
      <c r="H35" s="14"/>
      <c r="I35" s="104"/>
    </row>
    <row r="36" spans="1:9" ht="75" customHeight="1" thickBot="1" x14ac:dyDescent="0.3">
      <c r="A36" s="105" t="s">
        <v>89</v>
      </c>
      <c r="B36" s="106" t="s">
        <v>34</v>
      </c>
      <c r="C36" s="11">
        <v>0</v>
      </c>
      <c r="D36" s="82">
        <v>63</v>
      </c>
      <c r="E36" s="12">
        <f>D36*K9</f>
        <v>5796</v>
      </c>
      <c r="F36" s="107">
        <f>C36*E36</f>
        <v>0</v>
      </c>
      <c r="G36" s="61">
        <f>E36-(E36*$K$11%)</f>
        <v>5216.3999999999996</v>
      </c>
      <c r="H36" s="108">
        <f>F36-(F36*$K$11%)</f>
        <v>0</v>
      </c>
      <c r="I36" s="109" t="s">
        <v>148</v>
      </c>
    </row>
    <row r="37" spans="1:9" x14ac:dyDescent="0.25">
      <c r="A37" s="89" t="s">
        <v>104</v>
      </c>
      <c r="B37" s="14"/>
      <c r="C37" s="14"/>
      <c r="D37" s="14"/>
      <c r="E37" s="14"/>
      <c r="F37" s="107">
        <f>F36</f>
        <v>0</v>
      </c>
      <c r="G37" s="103"/>
      <c r="H37" s="58">
        <f>H36</f>
        <v>0</v>
      </c>
      <c r="I37" s="110"/>
    </row>
    <row r="38" spans="1:9" x14ac:dyDescent="0.25">
      <c r="A38" s="89"/>
      <c r="B38" s="14"/>
      <c r="C38" s="14"/>
      <c r="D38" s="14"/>
      <c r="E38" s="14"/>
      <c r="F38" s="111"/>
      <c r="G38" s="14"/>
      <c r="H38" s="112"/>
      <c r="I38" s="110"/>
    </row>
    <row r="39" spans="1:9" ht="36.6" customHeight="1" x14ac:dyDescent="0.25">
      <c r="A39" s="249" t="s">
        <v>83</v>
      </c>
      <c r="B39" s="250"/>
      <c r="C39" s="250"/>
      <c r="D39" s="250"/>
      <c r="E39" s="250"/>
      <c r="F39" s="250"/>
      <c r="G39" s="250"/>
      <c r="H39" s="250"/>
      <c r="I39" s="251"/>
    </row>
    <row r="40" spans="1:9" ht="36.6" customHeight="1" x14ac:dyDescent="0.25">
      <c r="A40" s="113" t="s">
        <v>20</v>
      </c>
      <c r="B40" s="114" t="s">
        <v>0</v>
      </c>
      <c r="C40" s="114" t="s">
        <v>27</v>
      </c>
      <c r="D40" s="114" t="s">
        <v>21</v>
      </c>
      <c r="E40" s="115" t="s">
        <v>86</v>
      </c>
      <c r="F40" s="114" t="s">
        <v>9</v>
      </c>
      <c r="G40" s="116" t="s">
        <v>28</v>
      </c>
      <c r="H40" s="116" t="s">
        <v>30</v>
      </c>
      <c r="I40" s="117" t="s">
        <v>1</v>
      </c>
    </row>
    <row r="41" spans="1:9" x14ac:dyDescent="0.25">
      <c r="A41" s="118"/>
      <c r="B41" s="119"/>
      <c r="C41" s="120"/>
      <c r="D41" s="121"/>
      <c r="E41" s="122"/>
      <c r="F41" s="123"/>
      <c r="G41" s="124"/>
      <c r="H41" s="124"/>
      <c r="I41" s="125"/>
    </row>
    <row r="42" spans="1:9" x14ac:dyDescent="0.25">
      <c r="A42" s="42" t="s">
        <v>94</v>
      </c>
      <c r="B42" s="5"/>
      <c r="C42" s="6"/>
      <c r="D42" s="72"/>
      <c r="E42" s="126"/>
      <c r="F42" s="7"/>
      <c r="G42" s="9"/>
      <c r="H42" s="9"/>
      <c r="I42" s="71"/>
    </row>
    <row r="43" spans="1:9" x14ac:dyDescent="0.25">
      <c r="A43" s="127" t="s">
        <v>37</v>
      </c>
      <c r="B43" s="128" t="s">
        <v>80</v>
      </c>
      <c r="C43" s="129">
        <v>0</v>
      </c>
      <c r="D43" s="130">
        <v>1.75</v>
      </c>
      <c r="E43" s="131">
        <f>D43*K9</f>
        <v>161</v>
      </c>
      <c r="F43" s="132">
        <f>C43*E43</f>
        <v>0</v>
      </c>
      <c r="G43" s="133">
        <f t="shared" ref="G43:H48" si="4">E43-(E43*$K$10%)</f>
        <v>128.80000000000001</v>
      </c>
      <c r="H43" s="134">
        <f t="shared" si="4"/>
        <v>0</v>
      </c>
      <c r="I43" s="229"/>
    </row>
    <row r="44" spans="1:9" x14ac:dyDescent="0.25">
      <c r="A44" s="73" t="s">
        <v>38</v>
      </c>
      <c r="B44" s="135" t="s">
        <v>80</v>
      </c>
      <c r="C44" s="129">
        <v>0</v>
      </c>
      <c r="D44" s="130">
        <v>1.75</v>
      </c>
      <c r="E44" s="34">
        <f>D44*K9</f>
        <v>161</v>
      </c>
      <c r="F44" s="56">
        <f t="shared" ref="F44:F47" si="5">C44*E44</f>
        <v>0</v>
      </c>
      <c r="G44" s="58">
        <f t="shared" si="4"/>
        <v>128.80000000000001</v>
      </c>
      <c r="H44" s="136">
        <f t="shared" si="4"/>
        <v>0</v>
      </c>
      <c r="I44" s="73"/>
    </row>
    <row r="45" spans="1:9" x14ac:dyDescent="0.25">
      <c r="A45" s="73" t="s">
        <v>39</v>
      </c>
      <c r="B45" s="135" t="s">
        <v>80</v>
      </c>
      <c r="C45" s="129">
        <v>0</v>
      </c>
      <c r="D45" s="130">
        <v>1.75</v>
      </c>
      <c r="E45" s="34">
        <f>D45*K9</f>
        <v>161</v>
      </c>
      <c r="F45" s="56">
        <f t="shared" si="5"/>
        <v>0</v>
      </c>
      <c r="G45" s="58">
        <f t="shared" si="4"/>
        <v>128.80000000000001</v>
      </c>
      <c r="H45" s="136">
        <f t="shared" si="4"/>
        <v>0</v>
      </c>
      <c r="I45" s="73"/>
    </row>
    <row r="46" spans="1:9" x14ac:dyDescent="0.25">
      <c r="A46" s="73" t="s">
        <v>40</v>
      </c>
      <c r="B46" s="65" t="s">
        <v>80</v>
      </c>
      <c r="C46" s="129">
        <v>0</v>
      </c>
      <c r="D46" s="130">
        <v>1.75</v>
      </c>
      <c r="E46" s="34">
        <f>D46*K9</f>
        <v>161</v>
      </c>
      <c r="F46" s="56">
        <f t="shared" si="5"/>
        <v>0</v>
      </c>
      <c r="G46" s="58">
        <f t="shared" si="4"/>
        <v>128.80000000000001</v>
      </c>
      <c r="H46" s="136">
        <f t="shared" si="4"/>
        <v>0</v>
      </c>
      <c r="I46" s="73"/>
    </row>
    <row r="47" spans="1:9" x14ac:dyDescent="0.25">
      <c r="A47" s="73" t="s">
        <v>41</v>
      </c>
      <c r="B47" s="65" t="s">
        <v>80</v>
      </c>
      <c r="C47" s="129">
        <v>0</v>
      </c>
      <c r="D47" s="130">
        <v>1.75</v>
      </c>
      <c r="E47" s="34">
        <f>D47*K9</f>
        <v>161</v>
      </c>
      <c r="F47" s="56">
        <f t="shared" si="5"/>
        <v>0</v>
      </c>
      <c r="G47" s="58">
        <f t="shared" si="4"/>
        <v>128.80000000000001</v>
      </c>
      <c r="H47" s="136">
        <f t="shared" si="4"/>
        <v>0</v>
      </c>
      <c r="I47" s="73"/>
    </row>
    <row r="48" spans="1:9" x14ac:dyDescent="0.25">
      <c r="A48" s="75" t="s">
        <v>42</v>
      </c>
      <c r="B48" s="137" t="s">
        <v>80</v>
      </c>
      <c r="C48" s="129">
        <v>0</v>
      </c>
      <c r="D48" s="130">
        <v>1.75</v>
      </c>
      <c r="E48" s="38">
        <f>D48*K9</f>
        <v>161</v>
      </c>
      <c r="F48" s="55">
        <f t="shared" ref="F48" si="6">C48*E48</f>
        <v>0</v>
      </c>
      <c r="G48" s="59">
        <f t="shared" si="4"/>
        <v>128.80000000000001</v>
      </c>
      <c r="H48" s="138">
        <f t="shared" si="4"/>
        <v>0</v>
      </c>
      <c r="I48" s="73"/>
    </row>
    <row r="49" spans="1:9" x14ac:dyDescent="0.25">
      <c r="A49" s="139"/>
      <c r="B49" s="119"/>
      <c r="C49" s="140"/>
      <c r="D49" s="141"/>
      <c r="E49" s="142"/>
      <c r="F49" s="143"/>
      <c r="G49" s="144"/>
      <c r="H49" s="144"/>
      <c r="I49" s="145"/>
    </row>
    <row r="50" spans="1:9" x14ac:dyDescent="0.25">
      <c r="A50" s="146" t="s">
        <v>102</v>
      </c>
      <c r="B50" s="5"/>
      <c r="C50" s="6"/>
      <c r="D50" s="72"/>
      <c r="E50" s="126"/>
      <c r="F50" s="7"/>
      <c r="G50" s="9"/>
      <c r="H50" s="9"/>
      <c r="I50" s="71"/>
    </row>
    <row r="51" spans="1:9" x14ac:dyDescent="0.25">
      <c r="A51" s="127" t="s">
        <v>43</v>
      </c>
      <c r="B51" s="147" t="s">
        <v>80</v>
      </c>
      <c r="C51" s="129">
        <v>0</v>
      </c>
      <c r="D51" s="148">
        <v>8.5</v>
      </c>
      <c r="E51" s="131">
        <f>D51*K9</f>
        <v>782</v>
      </c>
      <c r="F51" s="149">
        <f>C51*E51</f>
        <v>0</v>
      </c>
      <c r="G51" s="133">
        <f t="shared" ref="G51:H54" si="7">E51-(E51*$K$10%)</f>
        <v>625.6</v>
      </c>
      <c r="H51" s="150">
        <f t="shared" si="7"/>
        <v>0</v>
      </c>
      <c r="I51" s="229"/>
    </row>
    <row r="52" spans="1:9" x14ac:dyDescent="0.25">
      <c r="A52" s="73" t="s">
        <v>44</v>
      </c>
      <c r="B52" s="65" t="s">
        <v>80</v>
      </c>
      <c r="C52" s="129">
        <v>0</v>
      </c>
      <c r="D52" s="148">
        <v>8.5</v>
      </c>
      <c r="E52" s="34">
        <f>D52*K9</f>
        <v>782</v>
      </c>
      <c r="F52" s="57">
        <f t="shared" ref="F52:F57" si="8">C52*E52</f>
        <v>0</v>
      </c>
      <c r="G52" s="58">
        <f t="shared" si="7"/>
        <v>625.6</v>
      </c>
      <c r="H52" s="151">
        <f t="shared" si="7"/>
        <v>0</v>
      </c>
      <c r="I52" s="73"/>
    </row>
    <row r="53" spans="1:9" x14ac:dyDescent="0.25">
      <c r="A53" s="73" t="s">
        <v>45</v>
      </c>
      <c r="B53" s="65" t="s">
        <v>80</v>
      </c>
      <c r="C53" s="129">
        <v>0</v>
      </c>
      <c r="D53" s="148">
        <v>8.5</v>
      </c>
      <c r="E53" s="34">
        <f>D53*K9</f>
        <v>782</v>
      </c>
      <c r="F53" s="57">
        <f t="shared" si="8"/>
        <v>0</v>
      </c>
      <c r="G53" s="58">
        <f t="shared" si="7"/>
        <v>625.6</v>
      </c>
      <c r="H53" s="151">
        <f t="shared" si="7"/>
        <v>0</v>
      </c>
      <c r="I53" s="73"/>
    </row>
    <row r="54" spans="1:9" x14ac:dyDescent="0.25">
      <c r="A54" s="73" t="s">
        <v>46</v>
      </c>
      <c r="B54" s="65" t="s">
        <v>80</v>
      </c>
      <c r="C54" s="129">
        <v>0</v>
      </c>
      <c r="D54" s="148">
        <v>8.5</v>
      </c>
      <c r="E54" s="34">
        <f>D54*K9</f>
        <v>782</v>
      </c>
      <c r="F54" s="57">
        <f t="shared" si="8"/>
        <v>0</v>
      </c>
      <c r="G54" s="58">
        <f t="shared" si="7"/>
        <v>625.6</v>
      </c>
      <c r="H54" s="151">
        <f t="shared" si="7"/>
        <v>0</v>
      </c>
      <c r="I54" s="73"/>
    </row>
    <row r="55" spans="1:9" x14ac:dyDescent="0.25">
      <c r="A55" s="73" t="s">
        <v>47</v>
      </c>
      <c r="B55" s="65" t="s">
        <v>80</v>
      </c>
      <c r="C55" s="129">
        <v>0</v>
      </c>
      <c r="D55" s="148">
        <v>8.5</v>
      </c>
      <c r="E55" s="34">
        <f>D55*K9</f>
        <v>782</v>
      </c>
      <c r="F55" s="152">
        <f t="shared" si="8"/>
        <v>0</v>
      </c>
      <c r="G55" s="58">
        <f>E55-(E55*$K$10%)</f>
        <v>625.6</v>
      </c>
      <c r="H55" s="151">
        <f t="shared" ref="H55:H58" si="9">F55-(F55*$K$10%)</f>
        <v>0</v>
      </c>
      <c r="I55" s="73"/>
    </row>
    <row r="56" spans="1:9" x14ac:dyDescent="0.25">
      <c r="A56" s="73" t="s">
        <v>48</v>
      </c>
      <c r="B56" s="65" t="s">
        <v>80</v>
      </c>
      <c r="C56" s="129">
        <v>0</v>
      </c>
      <c r="D56" s="148">
        <v>8.5</v>
      </c>
      <c r="E56" s="34">
        <f>D56*K9</f>
        <v>782</v>
      </c>
      <c r="F56" s="152">
        <f t="shared" si="8"/>
        <v>0</v>
      </c>
      <c r="G56" s="58">
        <f>E56-(E56*$K$10%)</f>
        <v>625.6</v>
      </c>
      <c r="H56" s="151">
        <f t="shared" si="9"/>
        <v>0</v>
      </c>
      <c r="I56" s="73"/>
    </row>
    <row r="57" spans="1:9" x14ac:dyDescent="0.25">
      <c r="A57" s="73" t="s">
        <v>49</v>
      </c>
      <c r="B57" s="65" t="s">
        <v>80</v>
      </c>
      <c r="C57" s="129">
        <v>0</v>
      </c>
      <c r="D57" s="148">
        <v>8.5</v>
      </c>
      <c r="E57" s="34">
        <f>D57*K9</f>
        <v>782</v>
      </c>
      <c r="F57" s="152">
        <f t="shared" si="8"/>
        <v>0</v>
      </c>
      <c r="G57" s="58">
        <f>E57-(E57*$K$10%)</f>
        <v>625.6</v>
      </c>
      <c r="H57" s="151">
        <f t="shared" si="9"/>
        <v>0</v>
      </c>
      <c r="I57" s="73"/>
    </row>
    <row r="58" spans="1:9" x14ac:dyDescent="0.25">
      <c r="A58" s="75" t="s">
        <v>50</v>
      </c>
      <c r="B58" s="137" t="s">
        <v>80</v>
      </c>
      <c r="C58" s="129">
        <v>0</v>
      </c>
      <c r="D58" s="148">
        <v>8.5</v>
      </c>
      <c r="E58" s="38">
        <f>D58*K9</f>
        <v>782</v>
      </c>
      <c r="F58" s="153">
        <f t="shared" ref="F58" si="10">C58*E58</f>
        <v>0</v>
      </c>
      <c r="G58" s="59">
        <f>E58-(E58*$K$10%)</f>
        <v>625.6</v>
      </c>
      <c r="H58" s="154">
        <f t="shared" si="9"/>
        <v>0</v>
      </c>
      <c r="I58" s="73"/>
    </row>
    <row r="59" spans="1:9" x14ac:dyDescent="0.25">
      <c r="A59" s="139"/>
      <c r="B59" s="119"/>
      <c r="C59" s="140"/>
      <c r="D59" s="155"/>
      <c r="E59" s="156"/>
      <c r="F59" s="157"/>
      <c r="G59" s="124"/>
      <c r="H59" s="124"/>
      <c r="I59" s="145"/>
    </row>
    <row r="60" spans="1:9" x14ac:dyDescent="0.25">
      <c r="A60" s="146" t="s">
        <v>103</v>
      </c>
      <c r="B60" s="5"/>
      <c r="C60" s="6"/>
      <c r="D60" s="158"/>
      <c r="E60" s="126"/>
      <c r="F60" s="7"/>
      <c r="G60" s="9"/>
      <c r="H60" s="9"/>
      <c r="I60" s="71"/>
    </row>
    <row r="61" spans="1:9" x14ac:dyDescent="0.25">
      <c r="A61" s="127" t="s">
        <v>99</v>
      </c>
      <c r="B61" s="147" t="s">
        <v>80</v>
      </c>
      <c r="C61" s="129">
        <v>0</v>
      </c>
      <c r="D61" s="148">
        <v>10</v>
      </c>
      <c r="E61" s="131">
        <f>D61*K9</f>
        <v>920</v>
      </c>
      <c r="F61" s="149">
        <f>C61*E61</f>
        <v>0</v>
      </c>
      <c r="G61" s="133">
        <f>E61-(E61*$K$10%)</f>
        <v>736</v>
      </c>
      <c r="H61" s="150">
        <f>F61-(F61*$K$10%)</f>
        <v>0</v>
      </c>
      <c r="I61" s="229"/>
    </row>
    <row r="62" spans="1:9" x14ac:dyDescent="0.25">
      <c r="A62" s="75" t="s">
        <v>98</v>
      </c>
      <c r="B62" s="137" t="s">
        <v>80</v>
      </c>
      <c r="C62" s="129">
        <v>0</v>
      </c>
      <c r="D62" s="159">
        <v>10</v>
      </c>
      <c r="E62" s="38">
        <f>D62*K9</f>
        <v>920</v>
      </c>
      <c r="F62" s="67">
        <f t="shared" ref="F62" si="11">C62*E62</f>
        <v>0</v>
      </c>
      <c r="G62" s="59">
        <f>E62-(E62*$K$10%)</f>
        <v>736</v>
      </c>
      <c r="H62" s="154">
        <f>F62-(F62*$K$10%)</f>
        <v>0</v>
      </c>
      <c r="I62" s="73"/>
    </row>
    <row r="63" spans="1:9" x14ac:dyDescent="0.25">
      <c r="A63" s="139"/>
      <c r="B63" s="119"/>
      <c r="C63" s="140"/>
      <c r="D63" s="155"/>
      <c r="E63" s="156"/>
      <c r="F63" s="123"/>
      <c r="G63" s="124"/>
      <c r="H63" s="124"/>
      <c r="I63" s="160"/>
    </row>
    <row r="64" spans="1:9" ht="19.149999999999999" customHeight="1" x14ac:dyDescent="0.25">
      <c r="A64" s="146" t="s">
        <v>97</v>
      </c>
      <c r="B64" s="5"/>
      <c r="C64" s="6"/>
      <c r="D64" s="158"/>
      <c r="E64" s="126"/>
      <c r="F64" s="7"/>
      <c r="G64" s="9"/>
      <c r="H64" s="9"/>
      <c r="I64" s="71"/>
    </row>
    <row r="65" spans="1:9" ht="16.899999999999999" customHeight="1" x14ac:dyDescent="0.25">
      <c r="A65" s="127" t="s">
        <v>51</v>
      </c>
      <c r="B65" s="147" t="s">
        <v>80</v>
      </c>
      <c r="C65" s="129">
        <v>0</v>
      </c>
      <c r="D65" s="148">
        <v>13.5</v>
      </c>
      <c r="E65" s="131">
        <f>D65*K9</f>
        <v>1242</v>
      </c>
      <c r="F65" s="149">
        <f>C65*E65</f>
        <v>0</v>
      </c>
      <c r="G65" s="133">
        <f>E65-(E65*$K$10%)</f>
        <v>993.6</v>
      </c>
      <c r="H65" s="150">
        <f>F65-(F65*$K$10%)</f>
        <v>0</v>
      </c>
      <c r="I65" s="229"/>
    </row>
    <row r="66" spans="1:9" ht="17.45" customHeight="1" x14ac:dyDescent="0.25">
      <c r="A66" s="75" t="s">
        <v>95</v>
      </c>
      <c r="B66" s="137" t="s">
        <v>80</v>
      </c>
      <c r="C66" s="129">
        <v>0</v>
      </c>
      <c r="D66" s="148">
        <v>13.5</v>
      </c>
      <c r="E66" s="38">
        <f>D66*K9</f>
        <v>1242</v>
      </c>
      <c r="F66" s="67">
        <f t="shared" ref="F66" si="12">C66*E66</f>
        <v>0</v>
      </c>
      <c r="G66" s="59">
        <f>E66-(E66*$K$10%)</f>
        <v>993.6</v>
      </c>
      <c r="H66" s="154">
        <f>F66-(F66*$K$10%)</f>
        <v>0</v>
      </c>
      <c r="I66" s="73"/>
    </row>
    <row r="67" spans="1:9" ht="17.45" customHeight="1" x14ac:dyDescent="0.25">
      <c r="A67" s="139"/>
      <c r="B67" s="119"/>
      <c r="C67" s="140"/>
      <c r="D67" s="121"/>
      <c r="E67" s="156"/>
      <c r="F67" s="157"/>
      <c r="G67" s="124"/>
      <c r="H67" s="124"/>
      <c r="I67" s="73"/>
    </row>
    <row r="68" spans="1:9" x14ac:dyDescent="0.25">
      <c r="A68" s="146" t="s">
        <v>52</v>
      </c>
      <c r="B68" s="5"/>
      <c r="C68" s="6"/>
      <c r="D68" s="72"/>
      <c r="E68" s="126"/>
      <c r="F68" s="7"/>
      <c r="G68" s="9"/>
      <c r="H68" s="9"/>
      <c r="I68" s="73"/>
    </row>
    <row r="69" spans="1:9" x14ac:dyDescent="0.25">
      <c r="A69" s="162" t="s">
        <v>53</v>
      </c>
      <c r="B69" s="163" t="s">
        <v>80</v>
      </c>
      <c r="C69" s="129">
        <v>0</v>
      </c>
      <c r="D69" s="164">
        <v>24.25</v>
      </c>
      <c r="E69" s="165">
        <f>D69*K9</f>
        <v>2231</v>
      </c>
      <c r="F69" s="166">
        <f>C69*E69</f>
        <v>0</v>
      </c>
      <c r="G69" s="167">
        <f>E69-(E69*$K$10%)</f>
        <v>1784.8</v>
      </c>
      <c r="H69" s="168">
        <f>F69-(F69*$K$10%)</f>
        <v>0</v>
      </c>
      <c r="I69" s="73"/>
    </row>
    <row r="70" spans="1:9" x14ac:dyDescent="0.25">
      <c r="A70" s="139"/>
      <c r="B70" s="119"/>
      <c r="C70" s="140"/>
      <c r="D70" s="155"/>
      <c r="E70" s="156"/>
      <c r="F70" s="157"/>
      <c r="G70" s="124"/>
      <c r="H70" s="124"/>
      <c r="I70" s="73"/>
    </row>
    <row r="71" spans="1:9" x14ac:dyDescent="0.25">
      <c r="A71" s="146" t="s">
        <v>96</v>
      </c>
      <c r="B71" s="5"/>
      <c r="C71" s="6"/>
      <c r="D71" s="158"/>
      <c r="E71" s="126"/>
      <c r="F71" s="7"/>
      <c r="G71" s="9"/>
      <c r="H71" s="9"/>
      <c r="I71" s="161"/>
    </row>
    <row r="72" spans="1:9" x14ac:dyDescent="0.25">
      <c r="A72" s="169" t="s">
        <v>54</v>
      </c>
      <c r="B72" s="147" t="s">
        <v>80</v>
      </c>
      <c r="C72" s="129">
        <v>0</v>
      </c>
      <c r="D72" s="148">
        <v>36</v>
      </c>
      <c r="E72" s="131">
        <f>D72*K9</f>
        <v>3312</v>
      </c>
      <c r="F72" s="149">
        <f>C72*E72</f>
        <v>0</v>
      </c>
      <c r="G72" s="133">
        <f>E72-(E72*$K$10%)</f>
        <v>2649.6</v>
      </c>
      <c r="H72" s="150">
        <f>F72-(F72*$K$10%)</f>
        <v>0</v>
      </c>
      <c r="I72" s="230"/>
    </row>
    <row r="73" spans="1:9" x14ac:dyDescent="0.25">
      <c r="A73" s="139"/>
      <c r="B73" s="119"/>
      <c r="C73" s="140"/>
      <c r="D73" s="121"/>
      <c r="E73" s="156"/>
      <c r="F73" s="157"/>
      <c r="G73" s="124"/>
      <c r="H73" s="124"/>
      <c r="I73" s="145"/>
    </row>
    <row r="74" spans="1:9" x14ac:dyDescent="0.25">
      <c r="A74" s="89" t="s">
        <v>57</v>
      </c>
      <c r="B74" s="14"/>
      <c r="C74" s="14"/>
      <c r="D74" s="14"/>
      <c r="E74" s="90"/>
      <c r="F74" s="91">
        <f>SUM(F41:F72)</f>
        <v>0</v>
      </c>
      <c r="G74" s="124"/>
      <c r="H74" s="61">
        <f>F74-(F74*$K$10%)</f>
        <v>0</v>
      </c>
      <c r="I74" s="73"/>
    </row>
    <row r="75" spans="1:9" x14ac:dyDescent="0.25">
      <c r="A75" s="89" t="s">
        <v>32</v>
      </c>
      <c r="B75" s="14"/>
      <c r="C75" s="14"/>
      <c r="D75" s="14"/>
      <c r="E75" s="90"/>
      <c r="F75" s="91">
        <f>F32</f>
        <v>12</v>
      </c>
      <c r="G75" s="124"/>
      <c r="H75" s="61">
        <f>F75</f>
        <v>12</v>
      </c>
      <c r="I75" s="73"/>
    </row>
    <row r="76" spans="1:9" x14ac:dyDescent="0.25">
      <c r="A76" s="89" t="s">
        <v>55</v>
      </c>
      <c r="B76" s="14"/>
      <c r="C76" s="14"/>
      <c r="D76" s="14"/>
      <c r="E76" s="90"/>
      <c r="F76" s="91">
        <f>F74*F75</f>
        <v>0</v>
      </c>
      <c r="G76" s="124"/>
      <c r="H76" s="61">
        <f>H74*H75</f>
        <v>0</v>
      </c>
      <c r="I76" s="73"/>
    </row>
    <row r="77" spans="1:9" x14ac:dyDescent="0.25">
      <c r="A77" s="170"/>
      <c r="B77" s="171"/>
      <c r="C77" s="171"/>
      <c r="D77" s="171"/>
      <c r="E77" s="171"/>
      <c r="F77" s="43"/>
      <c r="G77" s="171"/>
      <c r="H77" s="9"/>
      <c r="I77" s="172"/>
    </row>
    <row r="78" spans="1:9" x14ac:dyDescent="0.25">
      <c r="A78" s="173" t="s">
        <v>58</v>
      </c>
      <c r="B78" s="124"/>
      <c r="C78" s="124"/>
      <c r="D78" s="124"/>
      <c r="E78" s="124"/>
      <c r="F78" s="149">
        <f>F33+F76</f>
        <v>0</v>
      </c>
      <c r="G78" s="124"/>
      <c r="H78" s="133">
        <f>F78-(F78*$K$10%)</f>
        <v>0</v>
      </c>
      <c r="I78" s="73"/>
    </row>
    <row r="79" spans="1:9" x14ac:dyDescent="0.25">
      <c r="A79" s="175" t="s">
        <v>81</v>
      </c>
      <c r="B79" s="124"/>
      <c r="C79" s="124"/>
      <c r="D79" s="124"/>
      <c r="E79" s="124"/>
      <c r="F79" s="57">
        <f>F37</f>
        <v>0</v>
      </c>
      <c r="G79" s="124"/>
      <c r="H79" s="58">
        <f>F79-(F79*$K$11%)</f>
        <v>0</v>
      </c>
      <c r="I79" s="73"/>
    </row>
    <row r="80" spans="1:9" x14ac:dyDescent="0.25">
      <c r="A80" s="174" t="s">
        <v>82</v>
      </c>
      <c r="B80" s="124"/>
      <c r="C80" s="124"/>
      <c r="D80" s="124"/>
      <c r="E80" s="124"/>
      <c r="F80" s="67">
        <v>9999</v>
      </c>
      <c r="G80" s="124"/>
      <c r="H80" s="59">
        <f>F80-(F80*$K$10%)</f>
        <v>7999.2</v>
      </c>
      <c r="I80" s="73"/>
    </row>
    <row r="81" spans="1:9" x14ac:dyDescent="0.25">
      <c r="A81" s="174" t="s">
        <v>68</v>
      </c>
      <c r="B81" s="124"/>
      <c r="C81" s="124"/>
      <c r="D81" s="124"/>
      <c r="E81" s="124"/>
      <c r="F81" s="67">
        <f>SUM(F78:F80)</f>
        <v>9999</v>
      </c>
      <c r="G81" s="124"/>
      <c r="H81" s="59">
        <f>SUM(H78:H80)</f>
        <v>7999.2</v>
      </c>
      <c r="I81" s="73"/>
    </row>
    <row r="82" spans="1:9" x14ac:dyDescent="0.25">
      <c r="A82" s="170" t="s">
        <v>106</v>
      </c>
      <c r="B82" s="171"/>
      <c r="C82" s="171"/>
      <c r="D82" s="171"/>
      <c r="E82" s="171"/>
      <c r="F82" s="43"/>
      <c r="G82" s="171"/>
      <c r="H82" s="9"/>
      <c r="I82" s="172"/>
    </row>
    <row r="83" spans="1:9" ht="15.75" thickBot="1" x14ac:dyDescent="0.3">
      <c r="A83" s="247" t="s">
        <v>8</v>
      </c>
      <c r="B83" s="248"/>
      <c r="C83" s="248"/>
      <c r="D83" s="248"/>
      <c r="E83" s="248"/>
      <c r="F83" s="248"/>
      <c r="G83" s="248"/>
      <c r="H83" s="248"/>
      <c r="I83" s="248"/>
    </row>
    <row r="84" spans="1:9" x14ac:dyDescent="0.25">
      <c r="A84" s="285" t="s">
        <v>69</v>
      </c>
      <c r="B84" s="286"/>
      <c r="C84" s="286"/>
      <c r="D84" s="286"/>
      <c r="E84" s="286"/>
      <c r="F84" s="286"/>
      <c r="G84" s="286"/>
      <c r="H84" s="286"/>
      <c r="I84" s="286"/>
    </row>
    <row r="85" spans="1:9" x14ac:dyDescent="0.25">
      <c r="A85" s="231" t="s">
        <v>70</v>
      </c>
      <c r="B85" s="232"/>
      <c r="C85" s="232"/>
      <c r="D85" s="232"/>
      <c r="E85" s="232"/>
      <c r="F85" s="232"/>
      <c r="G85" s="232"/>
      <c r="H85" s="232"/>
      <c r="I85" s="232"/>
    </row>
    <row r="86" spans="1:9" x14ac:dyDescent="0.25">
      <c r="A86" s="231" t="s">
        <v>71</v>
      </c>
      <c r="B86" s="232"/>
      <c r="C86" s="232"/>
      <c r="D86" s="232"/>
      <c r="E86" s="232"/>
      <c r="F86" s="232"/>
      <c r="G86" s="232"/>
      <c r="H86" s="232"/>
      <c r="I86" s="232"/>
    </row>
    <row r="87" spans="1:9" x14ac:dyDescent="0.25">
      <c r="A87" s="231" t="s">
        <v>72</v>
      </c>
      <c r="B87" s="232"/>
      <c r="C87" s="232"/>
      <c r="D87" s="232"/>
      <c r="E87" s="232"/>
      <c r="F87" s="232"/>
      <c r="G87" s="232"/>
      <c r="H87" s="232"/>
      <c r="I87" s="232"/>
    </row>
    <row r="88" spans="1:9" x14ac:dyDescent="0.25">
      <c r="A88" s="231" t="s">
        <v>73</v>
      </c>
      <c r="B88" s="232"/>
      <c r="C88" s="232"/>
      <c r="D88" s="232"/>
      <c r="E88" s="232"/>
      <c r="F88" s="232"/>
      <c r="G88" s="232"/>
      <c r="H88" s="232"/>
      <c r="I88" s="232"/>
    </row>
    <row r="89" spans="1:9" x14ac:dyDescent="0.25">
      <c r="A89" s="278" t="s">
        <v>36</v>
      </c>
      <c r="B89" s="279"/>
      <c r="C89" s="279"/>
      <c r="D89" s="279"/>
      <c r="E89" s="279"/>
      <c r="F89" s="279"/>
      <c r="G89" s="279"/>
      <c r="H89" s="279"/>
      <c r="I89" s="279"/>
    </row>
    <row r="90" spans="1:9" x14ac:dyDescent="0.25">
      <c r="A90" s="231" t="s">
        <v>147</v>
      </c>
      <c r="B90" s="232"/>
      <c r="C90" s="232"/>
      <c r="D90" s="232"/>
      <c r="E90" s="232"/>
      <c r="F90" s="232"/>
      <c r="G90" s="232"/>
      <c r="H90" s="232"/>
      <c r="I90" s="232"/>
    </row>
    <row r="91" spans="1:9" x14ac:dyDescent="0.25">
      <c r="A91" s="231" t="s">
        <v>90</v>
      </c>
      <c r="B91" s="232"/>
      <c r="C91" s="232"/>
      <c r="D91" s="232"/>
      <c r="E91" s="232"/>
      <c r="F91" s="232"/>
      <c r="G91" s="232"/>
      <c r="H91" s="232"/>
      <c r="I91" s="232"/>
    </row>
    <row r="92" spans="1:9" s="48" customFormat="1" ht="35.450000000000003" customHeight="1" x14ac:dyDescent="0.25">
      <c r="A92" s="283" t="s">
        <v>105</v>
      </c>
      <c r="B92" s="284"/>
      <c r="C92" s="284"/>
      <c r="D92" s="284"/>
      <c r="E92" s="284"/>
      <c r="F92" s="284"/>
      <c r="G92" s="284"/>
      <c r="H92" s="284"/>
      <c r="I92" s="284"/>
    </row>
    <row r="93" spans="1:9" x14ac:dyDescent="0.25">
      <c r="A93" s="231" t="s">
        <v>91</v>
      </c>
      <c r="B93" s="232"/>
      <c r="C93" s="232"/>
      <c r="D93" s="232"/>
      <c r="E93" s="232"/>
      <c r="F93" s="232"/>
      <c r="G93" s="232"/>
      <c r="H93" s="232"/>
      <c r="I93" s="232"/>
    </row>
    <row r="94" spans="1:9" x14ac:dyDescent="0.25">
      <c r="A94" s="231" t="s">
        <v>92</v>
      </c>
      <c r="B94" s="232"/>
      <c r="C94" s="232"/>
      <c r="D94" s="232"/>
      <c r="E94" s="232"/>
      <c r="F94" s="232"/>
      <c r="G94" s="232"/>
      <c r="H94" s="232"/>
      <c r="I94" s="232"/>
    </row>
    <row r="95" spans="1:9" x14ac:dyDescent="0.25">
      <c r="A95" s="233" t="s">
        <v>93</v>
      </c>
      <c r="B95" s="234"/>
      <c r="C95" s="234"/>
      <c r="D95" s="234"/>
      <c r="E95" s="234"/>
      <c r="F95" s="234"/>
      <c r="G95" s="234"/>
      <c r="H95" s="234"/>
      <c r="I95" s="234"/>
    </row>
  </sheetData>
  <mergeCells count="32">
    <mergeCell ref="A90:I90"/>
    <mergeCell ref="A91:I91"/>
    <mergeCell ref="A92:I92"/>
    <mergeCell ref="A84:I84"/>
    <mergeCell ref="A85:I85"/>
    <mergeCell ref="A1:E5"/>
    <mergeCell ref="F1:I5"/>
    <mergeCell ref="A6:E6"/>
    <mergeCell ref="A9:E9"/>
    <mergeCell ref="A89:I89"/>
    <mergeCell ref="I31:I33"/>
    <mergeCell ref="J6:K6"/>
    <mergeCell ref="A7:E7"/>
    <mergeCell ref="F7:H7"/>
    <mergeCell ref="A8:E8"/>
    <mergeCell ref="F8:H8"/>
    <mergeCell ref="A94:I94"/>
    <mergeCell ref="A95:I95"/>
    <mergeCell ref="A86:I86"/>
    <mergeCell ref="A87:I87"/>
    <mergeCell ref="F9:H9"/>
    <mergeCell ref="A10:E10"/>
    <mergeCell ref="F10:H10"/>
    <mergeCell ref="A11:E11"/>
    <mergeCell ref="A93:I93"/>
    <mergeCell ref="F11:H11"/>
    <mergeCell ref="F12:I12"/>
    <mergeCell ref="A13:I13"/>
    <mergeCell ref="A83:I83"/>
    <mergeCell ref="A39:I39"/>
    <mergeCell ref="I20:I24"/>
    <mergeCell ref="A88:I88"/>
  </mergeCells>
  <pageMargins left="0.44" right="0.76" top="0.13" bottom="0.04" header="0.3" footer="0.3"/>
  <pageSetup scale="4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89EC-1A96-4E1E-BFAB-7F10C531DCF3}">
  <dimension ref="A1:M41"/>
  <sheetViews>
    <sheetView showGridLines="0" topLeftCell="A23" workbookViewId="0">
      <selection activeCell="A43" sqref="A43"/>
    </sheetView>
  </sheetViews>
  <sheetFormatPr defaultRowHeight="15" x14ac:dyDescent="0.25"/>
  <cols>
    <col min="1" max="1" width="55.7109375" customWidth="1"/>
    <col min="2" max="2" width="16.7109375" style="177" customWidth="1"/>
    <col min="3" max="3" width="8.28515625" style="177" customWidth="1"/>
    <col min="4" max="4" width="12.5703125" style="177" customWidth="1"/>
    <col min="5" max="5" width="19" style="177" customWidth="1"/>
    <col min="6" max="6" width="19.5703125" style="177" customWidth="1"/>
    <col min="7" max="7" width="18.7109375" style="177" customWidth="1"/>
    <col min="8" max="8" width="57.42578125" customWidth="1"/>
    <col min="9" max="9" width="5" customWidth="1"/>
    <col min="10" max="10" width="28.5703125" customWidth="1"/>
    <col min="11" max="11" width="10.7109375" style="177" customWidth="1"/>
    <col min="12" max="12" width="26.85546875" style="177" customWidth="1"/>
    <col min="13" max="13" width="9.140625" style="177"/>
  </cols>
  <sheetData>
    <row r="1" spans="1:11" ht="23.45" customHeight="1" x14ac:dyDescent="0.25">
      <c r="A1" s="290" t="s">
        <v>22</v>
      </c>
      <c r="B1" s="291"/>
      <c r="C1" s="291"/>
      <c r="D1" s="291"/>
      <c r="E1" s="291"/>
      <c r="F1" s="292"/>
      <c r="G1" s="296"/>
      <c r="H1" s="297"/>
      <c r="I1" s="195"/>
      <c r="J1" s="1"/>
      <c r="K1" s="178"/>
    </row>
    <row r="2" spans="1:11" ht="23.45" customHeight="1" x14ac:dyDescent="0.25">
      <c r="A2" s="293"/>
      <c r="B2" s="294"/>
      <c r="C2" s="294"/>
      <c r="D2" s="294"/>
      <c r="E2" s="294"/>
      <c r="F2" s="295"/>
      <c r="G2" s="298"/>
      <c r="H2" s="299"/>
      <c r="I2" s="195"/>
      <c r="J2" s="1"/>
      <c r="K2" s="178"/>
    </row>
    <row r="3" spans="1:11" ht="23.45" customHeight="1" x14ac:dyDescent="0.25">
      <c r="A3" s="293"/>
      <c r="B3" s="294"/>
      <c r="C3" s="294"/>
      <c r="D3" s="294"/>
      <c r="E3" s="294"/>
      <c r="F3" s="295"/>
      <c r="G3" s="298"/>
      <c r="H3" s="299"/>
      <c r="I3" s="195"/>
      <c r="J3" s="1"/>
      <c r="K3" s="178"/>
    </row>
    <row r="4" spans="1:11" ht="23.45" customHeight="1" x14ac:dyDescent="0.25">
      <c r="A4" s="293"/>
      <c r="B4" s="294"/>
      <c r="C4" s="294"/>
      <c r="D4" s="294"/>
      <c r="E4" s="294"/>
      <c r="F4" s="295"/>
      <c r="G4" s="298"/>
      <c r="H4" s="299"/>
      <c r="I4" s="195"/>
      <c r="J4" s="1"/>
      <c r="K4" s="178"/>
    </row>
    <row r="5" spans="1:11" ht="18.75" x14ac:dyDescent="0.25">
      <c r="A5" s="300" t="s">
        <v>10</v>
      </c>
      <c r="B5" s="301"/>
      <c r="C5" s="301"/>
      <c r="D5" s="301"/>
      <c r="E5" s="301"/>
      <c r="F5" s="302"/>
      <c r="G5" s="317"/>
      <c r="H5" s="194" t="s">
        <v>18</v>
      </c>
      <c r="I5" s="193"/>
      <c r="J5" s="315" t="s">
        <v>2</v>
      </c>
      <c r="K5" s="316"/>
    </row>
    <row r="6" spans="1:11" x14ac:dyDescent="0.25">
      <c r="A6" s="310" t="s">
        <v>15</v>
      </c>
      <c r="B6" s="311"/>
      <c r="C6" s="311"/>
      <c r="D6" s="311"/>
      <c r="E6" s="311"/>
      <c r="F6" s="312"/>
      <c r="G6" s="318"/>
      <c r="H6" s="26" t="s">
        <v>26</v>
      </c>
      <c r="I6" s="190"/>
      <c r="J6" s="192" t="s">
        <v>3</v>
      </c>
      <c r="K6" s="16" t="s">
        <v>6</v>
      </c>
    </row>
    <row r="7" spans="1:11" x14ac:dyDescent="0.25">
      <c r="A7" s="310" t="s">
        <v>16</v>
      </c>
      <c r="B7" s="311"/>
      <c r="C7" s="311"/>
      <c r="D7" s="311"/>
      <c r="E7" s="311"/>
      <c r="F7" s="312"/>
      <c r="G7" s="318"/>
      <c r="H7" s="26" t="s">
        <v>31</v>
      </c>
      <c r="I7" s="190"/>
      <c r="J7" s="192" t="s">
        <v>4</v>
      </c>
      <c r="K7" s="16" t="s">
        <v>85</v>
      </c>
    </row>
    <row r="8" spans="1:11" x14ac:dyDescent="0.25">
      <c r="A8" s="310" t="s">
        <v>17</v>
      </c>
      <c r="B8" s="311"/>
      <c r="C8" s="311"/>
      <c r="D8" s="311"/>
      <c r="E8" s="311"/>
      <c r="F8" s="312"/>
      <c r="G8" s="318"/>
      <c r="H8" s="26" t="s">
        <v>12</v>
      </c>
      <c r="I8" s="190"/>
      <c r="J8" s="192" t="s">
        <v>5</v>
      </c>
      <c r="K8" s="17">
        <v>92</v>
      </c>
    </row>
    <row r="9" spans="1:11" x14ac:dyDescent="0.25">
      <c r="A9" s="310" t="s">
        <v>13</v>
      </c>
      <c r="B9" s="311"/>
      <c r="C9" s="311"/>
      <c r="D9" s="311"/>
      <c r="E9" s="311"/>
      <c r="F9" s="312"/>
      <c r="G9" s="318"/>
      <c r="H9" s="26" t="s">
        <v>74</v>
      </c>
      <c r="I9" s="190"/>
      <c r="J9" s="191" t="s">
        <v>7</v>
      </c>
      <c r="K9" s="19">
        <v>20</v>
      </c>
    </row>
    <row r="10" spans="1:11" x14ac:dyDescent="0.25">
      <c r="A10" s="310" t="s">
        <v>11</v>
      </c>
      <c r="B10" s="311"/>
      <c r="C10" s="311"/>
      <c r="D10" s="311"/>
      <c r="E10" s="311"/>
      <c r="F10" s="312"/>
      <c r="G10" s="319"/>
      <c r="H10" s="26"/>
      <c r="I10" s="190"/>
      <c r="J10" s="18" t="s">
        <v>65</v>
      </c>
      <c r="K10" s="19">
        <v>15</v>
      </c>
    </row>
    <row r="11" spans="1:11" ht="23.25" x14ac:dyDescent="0.25">
      <c r="A11" s="32" t="s">
        <v>137</v>
      </c>
      <c r="B11" s="189"/>
      <c r="C11" s="189"/>
      <c r="D11" s="189"/>
      <c r="E11" s="189"/>
      <c r="F11" s="189"/>
      <c r="G11" s="313"/>
      <c r="H11" s="314"/>
      <c r="I11" s="188"/>
      <c r="J11" s="1"/>
      <c r="K11" s="178"/>
    </row>
    <row r="12" spans="1:11" ht="18.75" x14ac:dyDescent="0.25">
      <c r="A12" s="33" t="s">
        <v>29</v>
      </c>
      <c r="B12" s="31" t="str">
        <f>K7</f>
        <v>INR</v>
      </c>
      <c r="C12" s="187"/>
      <c r="D12" s="187"/>
      <c r="E12" s="187"/>
      <c r="F12" s="187"/>
      <c r="G12" s="186"/>
      <c r="H12" s="185"/>
      <c r="I12" s="182"/>
      <c r="J12" s="179"/>
      <c r="K12" s="178"/>
    </row>
    <row r="13" spans="1:11" ht="43.15" customHeight="1" x14ac:dyDescent="0.25">
      <c r="A13" s="27" t="s">
        <v>20</v>
      </c>
      <c r="B13" s="23" t="s">
        <v>0</v>
      </c>
      <c r="C13" s="23" t="s">
        <v>27</v>
      </c>
      <c r="D13" s="23" t="s">
        <v>21</v>
      </c>
      <c r="E13" s="23" t="s">
        <v>143</v>
      </c>
      <c r="F13" s="23" t="s">
        <v>142</v>
      </c>
      <c r="G13" s="184" t="s">
        <v>144</v>
      </c>
      <c r="H13" s="28" t="s">
        <v>1</v>
      </c>
      <c r="I13" s="182"/>
      <c r="J13" s="179"/>
      <c r="K13" s="178"/>
    </row>
    <row r="14" spans="1:11" ht="19.5" thickBot="1" x14ac:dyDescent="0.3">
      <c r="A14" s="183" t="s">
        <v>125</v>
      </c>
      <c r="B14" s="181"/>
      <c r="C14" s="181"/>
      <c r="D14" s="181"/>
      <c r="E14" s="181"/>
      <c r="F14" s="181"/>
      <c r="G14" s="181"/>
      <c r="H14" s="30"/>
      <c r="I14" s="182"/>
      <c r="J14" s="179"/>
      <c r="K14" s="178"/>
    </row>
    <row r="15" spans="1:11" ht="165.75" thickBot="1" x14ac:dyDescent="0.3">
      <c r="A15" s="213" t="s">
        <v>139</v>
      </c>
      <c r="B15" s="65" t="s">
        <v>80</v>
      </c>
      <c r="C15" s="2">
        <v>1</v>
      </c>
      <c r="D15" s="214">
        <v>40</v>
      </c>
      <c r="E15" s="215">
        <f>D15*K8</f>
        <v>3680</v>
      </c>
      <c r="F15" s="34">
        <f>C15*D15*K8</f>
        <v>3680</v>
      </c>
      <c r="G15" s="58">
        <f>F15-(F15*$K$10%)</f>
        <v>3128</v>
      </c>
      <c r="H15" s="216" t="s">
        <v>149</v>
      </c>
      <c r="I15" s="182"/>
      <c r="J15" s="179"/>
      <c r="K15" s="178"/>
    </row>
    <row r="16" spans="1:11" ht="55.5" customHeight="1" thickBot="1" x14ac:dyDescent="0.3">
      <c r="A16" s="217" t="s">
        <v>140</v>
      </c>
      <c r="B16" s="65" t="s">
        <v>118</v>
      </c>
      <c r="C16" s="2">
        <v>1</v>
      </c>
      <c r="D16" s="214">
        <v>1500</v>
      </c>
      <c r="E16" s="215">
        <f>D16*K8</f>
        <v>138000</v>
      </c>
      <c r="F16" s="34">
        <f>C16*D16*K8</f>
        <v>138000</v>
      </c>
      <c r="G16" s="58">
        <f>F16-(F16*$K$10%)</f>
        <v>117300</v>
      </c>
      <c r="H16" s="216" t="s">
        <v>150</v>
      </c>
      <c r="I16" s="182"/>
      <c r="J16" s="179"/>
      <c r="K16" s="178"/>
    </row>
    <row r="17" spans="1:11" ht="60" x14ac:dyDescent="0.25">
      <c r="A17" s="218" t="s">
        <v>141</v>
      </c>
      <c r="B17" s="65" t="s">
        <v>118</v>
      </c>
      <c r="C17" s="37">
        <v>1</v>
      </c>
      <c r="D17" s="159">
        <v>2499</v>
      </c>
      <c r="E17" s="219">
        <f>D17*K8</f>
        <v>229908</v>
      </c>
      <c r="F17" s="38">
        <f>C17*D17*K8</f>
        <v>229908</v>
      </c>
      <c r="G17" s="59">
        <f>F17-(F17*$K$10%)</f>
        <v>195421.8</v>
      </c>
      <c r="H17" s="216" t="s">
        <v>124</v>
      </c>
      <c r="I17" s="182"/>
      <c r="J17" s="179"/>
      <c r="K17" s="178"/>
    </row>
    <row r="18" spans="1:11" x14ac:dyDescent="0.25">
      <c r="A18" s="170" t="s">
        <v>123</v>
      </c>
      <c r="B18" s="220"/>
      <c r="C18" s="220"/>
      <c r="D18" s="220"/>
      <c r="E18" s="220"/>
      <c r="F18" s="221">
        <f>SUM(F15:F17)</f>
        <v>371588</v>
      </c>
      <c r="G18" s="58">
        <f>SUM(G15:G17)</f>
        <v>315849.8</v>
      </c>
      <c r="H18" s="172"/>
      <c r="I18" s="182"/>
      <c r="J18" s="179"/>
      <c r="K18" s="178"/>
    </row>
    <row r="19" spans="1:11" x14ac:dyDescent="0.25">
      <c r="A19" s="83"/>
      <c r="B19" s="222"/>
      <c r="C19" s="222"/>
      <c r="D19" s="222"/>
      <c r="E19" s="222"/>
      <c r="F19" s="222"/>
      <c r="G19" s="112"/>
      <c r="H19" s="176"/>
      <c r="I19" s="182"/>
      <c r="J19" s="179"/>
      <c r="K19" s="178"/>
    </row>
    <row r="20" spans="1:11" x14ac:dyDescent="0.25">
      <c r="A20" s="303" t="s">
        <v>122</v>
      </c>
      <c r="B20" s="304"/>
      <c r="C20" s="304"/>
      <c r="D20" s="304"/>
      <c r="E20" s="304"/>
      <c r="F20" s="304"/>
      <c r="G20" s="304"/>
      <c r="H20" s="305"/>
      <c r="I20" s="180"/>
      <c r="J20" s="179"/>
      <c r="K20" s="178"/>
    </row>
    <row r="21" spans="1:11" ht="46.9" customHeight="1" thickBot="1" x14ac:dyDescent="0.3">
      <c r="A21" s="223" t="s">
        <v>20</v>
      </c>
      <c r="B21" s="224" t="s">
        <v>0</v>
      </c>
      <c r="C21" s="224" t="s">
        <v>27</v>
      </c>
      <c r="D21" s="224" t="s">
        <v>21</v>
      </c>
      <c r="E21" s="224"/>
      <c r="F21" s="224" t="s">
        <v>121</v>
      </c>
      <c r="G21" s="225" t="s">
        <v>120</v>
      </c>
      <c r="H21" s="226" t="s">
        <v>1</v>
      </c>
      <c r="I21" s="180"/>
      <c r="J21" s="179"/>
      <c r="K21" s="178"/>
    </row>
    <row r="22" spans="1:11" ht="114.6" customHeight="1" x14ac:dyDescent="0.25">
      <c r="A22" s="217" t="s">
        <v>145</v>
      </c>
      <c r="B22" s="65" t="s">
        <v>80</v>
      </c>
      <c r="C22" s="2">
        <v>1</v>
      </c>
      <c r="D22" s="214">
        <v>7</v>
      </c>
      <c r="E22" s="215">
        <f>D22*K8</f>
        <v>644</v>
      </c>
      <c r="F22" s="34">
        <f>C22*D22*K8</f>
        <v>644</v>
      </c>
      <c r="G22" s="58">
        <f>F22-(F22*$K$9%)</f>
        <v>515.20000000000005</v>
      </c>
      <c r="H22" s="216" t="s">
        <v>119</v>
      </c>
      <c r="I22" s="180"/>
      <c r="J22" s="179"/>
      <c r="K22" s="178"/>
    </row>
    <row r="23" spans="1:11" ht="146.44999999999999" customHeight="1" x14ac:dyDescent="0.25">
      <c r="A23" s="217" t="s">
        <v>146</v>
      </c>
      <c r="B23" s="65" t="s">
        <v>118</v>
      </c>
      <c r="C23" s="2">
        <v>1</v>
      </c>
      <c r="D23" s="214">
        <v>800</v>
      </c>
      <c r="E23" s="215">
        <f>D23*K8</f>
        <v>73600</v>
      </c>
      <c r="F23" s="34">
        <f>C23*D23*K8</f>
        <v>73600</v>
      </c>
      <c r="G23" s="58">
        <f>F23-(F23*$K$9%)</f>
        <v>58880</v>
      </c>
      <c r="H23" s="81" t="s">
        <v>117</v>
      </c>
    </row>
    <row r="24" spans="1:11" x14ac:dyDescent="0.25">
      <c r="A24" s="89" t="s">
        <v>116</v>
      </c>
      <c r="B24" s="227"/>
      <c r="C24" s="227"/>
      <c r="D24" s="227"/>
      <c r="E24" s="222"/>
      <c r="F24" s="221">
        <f>SUM(F22:F23)</f>
        <v>74244</v>
      </c>
      <c r="G24" s="58">
        <f>SUM(G22:G23)</f>
        <v>59395.199999999997</v>
      </c>
      <c r="H24" s="228"/>
      <c r="I24" s="180"/>
      <c r="J24" s="179"/>
      <c r="K24" s="178"/>
    </row>
    <row r="25" spans="1:11" x14ac:dyDescent="0.25">
      <c r="A25" s="170"/>
      <c r="B25" s="220"/>
      <c r="C25" s="220"/>
      <c r="D25" s="220"/>
      <c r="E25" s="220"/>
      <c r="F25" s="220"/>
      <c r="G25" s="9"/>
      <c r="H25" s="172"/>
      <c r="I25" s="180"/>
      <c r="J25" s="179"/>
      <c r="K25" s="178"/>
    </row>
    <row r="26" spans="1:11" x14ac:dyDescent="0.25">
      <c r="A26" s="175" t="s">
        <v>115</v>
      </c>
      <c r="B26" s="222"/>
      <c r="C26" s="222"/>
      <c r="D26" s="222"/>
      <c r="E26" s="222"/>
      <c r="F26" s="102">
        <f>500*K8</f>
        <v>46000</v>
      </c>
      <c r="G26" s="58">
        <f>F26-(F26*$K$9%)</f>
        <v>36800</v>
      </c>
      <c r="H26" s="176"/>
      <c r="I26" s="180"/>
      <c r="J26" s="179"/>
      <c r="K26" s="178"/>
    </row>
    <row r="27" spans="1:11" x14ac:dyDescent="0.25">
      <c r="A27" s="174" t="s">
        <v>114</v>
      </c>
      <c r="B27" s="222"/>
      <c r="C27" s="222"/>
      <c r="D27" s="222"/>
      <c r="E27" s="222"/>
      <c r="F27" s="221">
        <f>F18+F24+F26</f>
        <v>491832</v>
      </c>
      <c r="G27" s="58">
        <f>G18+G24+G26</f>
        <v>412045</v>
      </c>
      <c r="H27" s="176"/>
      <c r="I27" s="180"/>
      <c r="J27" s="179"/>
      <c r="K27" s="178"/>
    </row>
    <row r="28" spans="1:11" x14ac:dyDescent="0.25">
      <c r="A28" s="170" t="s">
        <v>59</v>
      </c>
      <c r="B28" s="220"/>
      <c r="C28" s="220"/>
      <c r="D28" s="220"/>
      <c r="E28" s="220"/>
      <c r="F28" s="220"/>
      <c r="G28" s="9"/>
      <c r="H28" s="172"/>
      <c r="I28" s="180"/>
      <c r="J28" s="179"/>
      <c r="K28" s="178"/>
    </row>
    <row r="29" spans="1:11" ht="15.75" thickBot="1" x14ac:dyDescent="0.3">
      <c r="A29" s="306" t="s">
        <v>8</v>
      </c>
      <c r="B29" s="307"/>
      <c r="C29" s="307"/>
      <c r="D29" s="307"/>
      <c r="E29" s="307"/>
      <c r="F29" s="307"/>
      <c r="G29" s="307"/>
      <c r="H29" s="308"/>
      <c r="I29" s="180"/>
      <c r="J29" s="179"/>
      <c r="K29" s="178"/>
    </row>
    <row r="30" spans="1:11" x14ac:dyDescent="0.25">
      <c r="A30" s="285" t="s">
        <v>69</v>
      </c>
      <c r="B30" s="286"/>
      <c r="C30" s="286"/>
      <c r="D30" s="286"/>
      <c r="E30" s="286"/>
      <c r="F30" s="286"/>
      <c r="G30" s="286"/>
      <c r="H30" s="309"/>
      <c r="I30" s="180"/>
      <c r="J30" s="179"/>
      <c r="K30" s="178"/>
    </row>
    <row r="31" spans="1:11" x14ac:dyDescent="0.25">
      <c r="A31" s="231" t="s">
        <v>113</v>
      </c>
      <c r="B31" s="232"/>
      <c r="C31" s="232"/>
      <c r="D31" s="232"/>
      <c r="E31" s="232"/>
      <c r="F31" s="232"/>
      <c r="G31" s="232"/>
      <c r="H31" s="287"/>
      <c r="I31" s="180"/>
      <c r="J31" s="179"/>
      <c r="K31" s="178"/>
    </row>
    <row r="32" spans="1:11" x14ac:dyDescent="0.25">
      <c r="A32" s="231" t="s">
        <v>71</v>
      </c>
      <c r="B32" s="232"/>
      <c r="C32" s="232"/>
      <c r="D32" s="232"/>
      <c r="E32" s="232"/>
      <c r="F32" s="232"/>
      <c r="G32" s="232"/>
      <c r="H32" s="287"/>
      <c r="I32" s="180"/>
      <c r="J32" s="179"/>
      <c r="K32" s="178"/>
    </row>
    <row r="33" spans="1:11" x14ac:dyDescent="0.25">
      <c r="A33" s="231" t="s">
        <v>72</v>
      </c>
      <c r="B33" s="232"/>
      <c r="C33" s="232"/>
      <c r="D33" s="232"/>
      <c r="E33" s="232"/>
      <c r="F33" s="232"/>
      <c r="G33" s="232"/>
      <c r="H33" s="287"/>
      <c r="I33" s="180"/>
      <c r="J33" s="179"/>
      <c r="K33" s="178"/>
    </row>
    <row r="34" spans="1:11" x14ac:dyDescent="0.25">
      <c r="A34" s="231" t="s">
        <v>73</v>
      </c>
      <c r="B34" s="232"/>
      <c r="C34" s="232"/>
      <c r="D34" s="232"/>
      <c r="E34" s="232"/>
      <c r="F34" s="232"/>
      <c r="G34" s="232"/>
      <c r="H34" s="287"/>
      <c r="I34" s="180"/>
      <c r="J34" s="179"/>
      <c r="K34" s="178"/>
    </row>
    <row r="35" spans="1:11" x14ac:dyDescent="0.25">
      <c r="A35" s="278" t="s">
        <v>36</v>
      </c>
      <c r="B35" s="279"/>
      <c r="C35" s="279"/>
      <c r="D35" s="279"/>
      <c r="E35" s="279"/>
      <c r="F35" s="279"/>
      <c r="G35" s="279"/>
      <c r="H35" s="320"/>
      <c r="I35" s="180"/>
      <c r="J35" s="179"/>
      <c r="K35" s="178"/>
    </row>
    <row r="36" spans="1:11" x14ac:dyDescent="0.25">
      <c r="A36" s="231" t="s">
        <v>112</v>
      </c>
      <c r="B36" s="232"/>
      <c r="C36" s="232"/>
      <c r="D36" s="232"/>
      <c r="E36" s="232"/>
      <c r="F36" s="232"/>
      <c r="G36" s="232"/>
      <c r="H36" s="287"/>
      <c r="I36" s="180"/>
      <c r="J36" s="179"/>
      <c r="K36" s="178"/>
    </row>
    <row r="37" spans="1:11" x14ac:dyDescent="0.25">
      <c r="A37" s="231" t="s">
        <v>111</v>
      </c>
      <c r="B37" s="232"/>
      <c r="C37" s="232"/>
      <c r="D37" s="232"/>
      <c r="E37" s="232"/>
      <c r="F37" s="232"/>
      <c r="G37" s="232"/>
      <c r="H37" s="287"/>
      <c r="I37" s="180"/>
      <c r="J37" s="179"/>
      <c r="K37" s="178"/>
    </row>
    <row r="38" spans="1:11" ht="31.9" customHeight="1" x14ac:dyDescent="0.25">
      <c r="A38" s="283" t="s">
        <v>110</v>
      </c>
      <c r="B38" s="284"/>
      <c r="C38" s="284"/>
      <c r="D38" s="284"/>
      <c r="E38" s="284"/>
      <c r="F38" s="284"/>
      <c r="G38" s="284"/>
      <c r="H38" s="288"/>
      <c r="I38" s="180"/>
      <c r="J38" s="179"/>
      <c r="K38" s="178"/>
    </row>
    <row r="39" spans="1:11" x14ac:dyDescent="0.25">
      <c r="A39" s="231" t="s">
        <v>109</v>
      </c>
      <c r="B39" s="232"/>
      <c r="C39" s="232"/>
      <c r="D39" s="232"/>
      <c r="E39" s="232"/>
      <c r="F39" s="232"/>
      <c r="G39" s="232"/>
      <c r="H39" s="287"/>
      <c r="I39" s="180"/>
      <c r="J39" s="179"/>
      <c r="K39" s="178"/>
    </row>
    <row r="40" spans="1:11" x14ac:dyDescent="0.25">
      <c r="A40" s="231" t="s">
        <v>108</v>
      </c>
      <c r="B40" s="232"/>
      <c r="C40" s="232"/>
      <c r="D40" s="232"/>
      <c r="E40" s="232"/>
      <c r="F40" s="232"/>
      <c r="G40" s="232"/>
      <c r="H40" s="287"/>
      <c r="I40" s="180"/>
      <c r="J40" s="179"/>
      <c r="K40" s="178"/>
    </row>
    <row r="41" spans="1:11" x14ac:dyDescent="0.25">
      <c r="A41" s="233" t="s">
        <v>107</v>
      </c>
      <c r="B41" s="234"/>
      <c r="C41" s="234"/>
      <c r="D41" s="234"/>
      <c r="E41" s="234"/>
      <c r="F41" s="234"/>
      <c r="G41" s="234"/>
      <c r="H41" s="289"/>
      <c r="I41" s="180"/>
      <c r="J41" s="179"/>
      <c r="K41" s="178"/>
    </row>
  </sheetData>
  <mergeCells count="25">
    <mergeCell ref="J5:K5"/>
    <mergeCell ref="A6:F6"/>
    <mergeCell ref="G5:G10"/>
    <mergeCell ref="A34:H34"/>
    <mergeCell ref="A35:H35"/>
    <mergeCell ref="A36:H36"/>
    <mergeCell ref="A1:F4"/>
    <mergeCell ref="G1:H4"/>
    <mergeCell ref="A5:F5"/>
    <mergeCell ref="A20:H20"/>
    <mergeCell ref="A29:H29"/>
    <mergeCell ref="A30:H30"/>
    <mergeCell ref="A31:H31"/>
    <mergeCell ref="A32:H32"/>
    <mergeCell ref="A33:H33"/>
    <mergeCell ref="A7:F7"/>
    <mergeCell ref="A8:F8"/>
    <mergeCell ref="A9:F9"/>
    <mergeCell ref="A10:F10"/>
    <mergeCell ref="G11:H11"/>
    <mergeCell ref="A37:H37"/>
    <mergeCell ref="A38:H38"/>
    <mergeCell ref="A39:H39"/>
    <mergeCell ref="A40:H40"/>
    <mergeCell ref="A41:H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D50E-0AA6-4826-AD57-1B162EB16740}">
  <dimension ref="A1:C22"/>
  <sheetViews>
    <sheetView workbookViewId="0">
      <selection activeCell="B15" sqref="B15"/>
    </sheetView>
  </sheetViews>
  <sheetFormatPr defaultRowHeight="15" x14ac:dyDescent="0.25"/>
  <cols>
    <col min="1" max="1" width="31.85546875" customWidth="1"/>
    <col min="2" max="2" width="40.140625" customWidth="1"/>
    <col min="3" max="3" width="26.42578125" style="177" customWidth="1"/>
  </cols>
  <sheetData>
    <row r="1" spans="1:3" ht="21.75" thickBot="1" x14ac:dyDescent="0.4">
      <c r="C1" s="212" t="s">
        <v>136</v>
      </c>
    </row>
    <row r="2" spans="1:3" ht="32.25" thickBot="1" x14ac:dyDescent="0.3">
      <c r="A2" s="211" t="s">
        <v>135</v>
      </c>
      <c r="B2" s="210" t="s">
        <v>134</v>
      </c>
      <c r="C2" s="209" t="s">
        <v>133</v>
      </c>
    </row>
    <row r="3" spans="1:3" x14ac:dyDescent="0.25">
      <c r="A3" s="321" t="s">
        <v>132</v>
      </c>
      <c r="B3" s="204" t="s">
        <v>37</v>
      </c>
      <c r="C3" s="203">
        <v>1</v>
      </c>
    </row>
    <row r="4" spans="1:3" x14ac:dyDescent="0.25">
      <c r="A4" s="322"/>
      <c r="B4" s="206" t="s">
        <v>38</v>
      </c>
      <c r="C4" s="205">
        <v>1</v>
      </c>
    </row>
    <row r="5" spans="1:3" x14ac:dyDescent="0.25">
      <c r="A5" s="322"/>
      <c r="B5" s="208" t="s">
        <v>39</v>
      </c>
      <c r="C5" s="207">
        <v>1</v>
      </c>
    </row>
    <row r="6" spans="1:3" x14ac:dyDescent="0.25">
      <c r="A6" s="322"/>
      <c r="B6" s="206" t="s">
        <v>40</v>
      </c>
      <c r="C6" s="205">
        <v>1</v>
      </c>
    </row>
    <row r="7" spans="1:3" x14ac:dyDescent="0.25">
      <c r="A7" s="322"/>
      <c r="B7" s="208" t="s">
        <v>41</v>
      </c>
      <c r="C7" s="207">
        <v>1</v>
      </c>
    </row>
    <row r="8" spans="1:3" ht="15.75" thickBot="1" x14ac:dyDescent="0.3">
      <c r="A8" s="323"/>
      <c r="B8" s="202" t="s">
        <v>42</v>
      </c>
      <c r="C8" s="201">
        <v>1</v>
      </c>
    </row>
    <row r="9" spans="1:3" x14ac:dyDescent="0.25">
      <c r="A9" s="321" t="s">
        <v>131</v>
      </c>
      <c r="B9" s="204" t="s">
        <v>43</v>
      </c>
      <c r="C9" s="203">
        <v>1</v>
      </c>
    </row>
    <row r="10" spans="1:3" x14ac:dyDescent="0.25">
      <c r="A10" s="322"/>
      <c r="B10" s="206" t="s">
        <v>44</v>
      </c>
      <c r="C10" s="205">
        <v>1</v>
      </c>
    </row>
    <row r="11" spans="1:3" x14ac:dyDescent="0.25">
      <c r="A11" s="322"/>
      <c r="B11" s="208" t="s">
        <v>45</v>
      </c>
      <c r="C11" s="207">
        <v>1</v>
      </c>
    </row>
    <row r="12" spans="1:3" x14ac:dyDescent="0.25">
      <c r="A12" s="322"/>
      <c r="B12" s="206" t="s">
        <v>46</v>
      </c>
      <c r="C12" s="205">
        <v>1</v>
      </c>
    </row>
    <row r="13" spans="1:3" x14ac:dyDescent="0.25">
      <c r="A13" s="322"/>
      <c r="B13" s="208" t="s">
        <v>47</v>
      </c>
      <c r="C13" s="207">
        <v>1</v>
      </c>
    </row>
    <row r="14" spans="1:3" x14ac:dyDescent="0.25">
      <c r="A14" s="322"/>
      <c r="B14" s="206" t="s">
        <v>48</v>
      </c>
      <c r="C14" s="205">
        <v>1</v>
      </c>
    </row>
    <row r="15" spans="1:3" x14ac:dyDescent="0.25">
      <c r="A15" s="322"/>
      <c r="B15" s="208" t="s">
        <v>49</v>
      </c>
      <c r="C15" s="207">
        <v>1</v>
      </c>
    </row>
    <row r="16" spans="1:3" ht="15.75" thickBot="1" x14ac:dyDescent="0.3">
      <c r="A16" s="323"/>
      <c r="B16" s="206" t="s">
        <v>50</v>
      </c>
      <c r="C16" s="205">
        <v>1</v>
      </c>
    </row>
    <row r="17" spans="1:3" x14ac:dyDescent="0.25">
      <c r="A17" s="324" t="s">
        <v>130</v>
      </c>
      <c r="B17" s="204" t="s">
        <v>129</v>
      </c>
      <c r="C17" s="203">
        <v>1</v>
      </c>
    </row>
    <row r="18" spans="1:3" ht="15.75" thickBot="1" x14ac:dyDescent="0.3">
      <c r="A18" s="325"/>
      <c r="B18" s="202" t="s">
        <v>128</v>
      </c>
      <c r="C18" s="201">
        <v>1</v>
      </c>
    </row>
    <row r="19" spans="1:3" x14ac:dyDescent="0.25">
      <c r="A19" s="324" t="s">
        <v>127</v>
      </c>
      <c r="B19" s="204" t="s">
        <v>51</v>
      </c>
      <c r="C19" s="203">
        <v>1</v>
      </c>
    </row>
    <row r="20" spans="1:3" ht="15.75" thickBot="1" x14ac:dyDescent="0.3">
      <c r="A20" s="325"/>
      <c r="B20" s="202" t="s">
        <v>126</v>
      </c>
      <c r="C20" s="201">
        <v>1</v>
      </c>
    </row>
    <row r="21" spans="1:3" ht="16.5" thickBot="1" x14ac:dyDescent="0.3">
      <c r="A21" s="198" t="s">
        <v>52</v>
      </c>
      <c r="B21" s="200" t="s">
        <v>53</v>
      </c>
      <c r="C21" s="199">
        <v>4</v>
      </c>
    </row>
    <row r="22" spans="1:3" ht="26.25" thickBot="1" x14ac:dyDescent="0.3">
      <c r="A22" s="198" t="s">
        <v>96</v>
      </c>
      <c r="B22" s="197" t="s">
        <v>54</v>
      </c>
      <c r="C22" s="196">
        <v>8</v>
      </c>
    </row>
  </sheetData>
  <mergeCells count="4">
    <mergeCell ref="A3:A8"/>
    <mergeCell ref="A9:A16"/>
    <mergeCell ref="A17:A18"/>
    <mergeCell ref="A19: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17FC-CEDF-4F42-88FB-00F95B073A5C}">
  <dimension ref="B2:O101"/>
  <sheetViews>
    <sheetView topLeftCell="A33" zoomScaleNormal="100" workbookViewId="0">
      <selection activeCell="C39" sqref="C39"/>
    </sheetView>
  </sheetViews>
  <sheetFormatPr defaultRowHeight="15" x14ac:dyDescent="0.25"/>
  <cols>
    <col min="1" max="1" width="4.7109375" customWidth="1"/>
    <col min="2" max="2" width="39.28515625" customWidth="1"/>
    <col min="3" max="3" width="41.7109375" customWidth="1"/>
    <col min="4" max="4" width="25.42578125" customWidth="1"/>
    <col min="5" max="6" width="11.85546875" customWidth="1"/>
    <col min="7" max="7" width="12.28515625" customWidth="1"/>
    <col min="8" max="8" width="12.5703125" customWidth="1"/>
    <col min="9" max="9" width="11" customWidth="1"/>
    <col min="10" max="10" width="10.85546875" customWidth="1"/>
    <col min="11" max="11" width="11.140625" customWidth="1"/>
    <col min="12" max="12" width="10.85546875" customWidth="1"/>
    <col min="13" max="14" width="11.5703125" customWidth="1"/>
    <col min="15" max="15" width="10.28515625" customWidth="1"/>
  </cols>
  <sheetData>
    <row r="2" spans="2:14" ht="18.600000000000001" customHeight="1" x14ac:dyDescent="0.25">
      <c r="B2" s="339" t="s">
        <v>219</v>
      </c>
      <c r="C2" s="327" t="s">
        <v>218</v>
      </c>
      <c r="D2" s="341"/>
      <c r="E2" s="340"/>
      <c r="F2" s="340"/>
      <c r="G2" s="340"/>
      <c r="H2" s="340"/>
      <c r="I2" s="340"/>
      <c r="J2" s="340"/>
      <c r="K2" s="340"/>
      <c r="L2" s="340"/>
      <c r="M2" s="340"/>
      <c r="N2" s="340"/>
    </row>
    <row r="3" spans="2:14" ht="18.600000000000001" customHeight="1" x14ac:dyDescent="0.25">
      <c r="B3" s="339"/>
      <c r="C3" s="327" t="s">
        <v>217</v>
      </c>
      <c r="D3" s="341"/>
      <c r="E3" s="340"/>
      <c r="F3" s="340"/>
      <c r="G3" s="340"/>
      <c r="H3" s="340"/>
      <c r="I3" s="340"/>
      <c r="J3" s="340"/>
      <c r="K3" s="340"/>
      <c r="L3" s="340"/>
      <c r="M3" s="340"/>
      <c r="N3" s="340"/>
    </row>
    <row r="4" spans="2:14" x14ac:dyDescent="0.25">
      <c r="C4" s="340"/>
      <c r="D4" s="340"/>
      <c r="E4" s="340"/>
      <c r="F4" s="340"/>
      <c r="G4" s="340"/>
      <c r="H4" s="340"/>
      <c r="I4" s="340"/>
      <c r="J4" s="340"/>
      <c r="K4" s="340"/>
      <c r="L4" s="340"/>
      <c r="M4" s="340"/>
      <c r="N4" s="340"/>
    </row>
    <row r="5" spans="2:14" ht="18.600000000000001" customHeight="1" x14ac:dyDescent="0.25">
      <c r="B5" s="339" t="s">
        <v>216</v>
      </c>
      <c r="C5" s="327" t="s">
        <v>215</v>
      </c>
      <c r="D5" s="341"/>
      <c r="E5" s="340"/>
      <c r="F5" s="340"/>
      <c r="G5" s="340"/>
      <c r="H5" s="340"/>
      <c r="I5" s="340"/>
      <c r="J5" s="340"/>
      <c r="K5" s="340"/>
      <c r="L5" s="340"/>
      <c r="M5" s="340"/>
      <c r="N5" s="340"/>
    </row>
    <row r="6" spans="2:14" ht="18.600000000000001" customHeight="1" x14ac:dyDescent="0.25">
      <c r="B6" s="339"/>
      <c r="C6" s="327" t="s">
        <v>214</v>
      </c>
      <c r="D6" s="341"/>
      <c r="E6" s="340"/>
      <c r="F6" s="340"/>
      <c r="G6" s="340"/>
      <c r="H6" s="340"/>
      <c r="I6" s="340"/>
      <c r="J6" s="340"/>
      <c r="K6" s="340"/>
      <c r="L6" s="340"/>
      <c r="M6" s="340"/>
      <c r="N6" s="340"/>
    </row>
    <row r="7" spans="2:14" ht="18.600000000000001" customHeight="1" x14ac:dyDescent="0.25">
      <c r="B7" s="339"/>
      <c r="C7" s="327" t="s">
        <v>213</v>
      </c>
      <c r="D7" s="341"/>
      <c r="E7" s="340"/>
      <c r="F7" s="340"/>
      <c r="G7" s="340"/>
      <c r="H7" s="340"/>
      <c r="I7" s="340"/>
      <c r="J7" s="340"/>
      <c r="K7" s="340"/>
      <c r="L7" s="340"/>
      <c r="M7" s="340"/>
      <c r="N7" s="340"/>
    </row>
    <row r="8" spans="2:14" ht="18.600000000000001" customHeight="1" x14ac:dyDescent="0.25">
      <c r="B8" s="339"/>
      <c r="C8" s="327" t="s">
        <v>212</v>
      </c>
      <c r="D8" s="341"/>
      <c r="E8" s="340"/>
      <c r="F8" s="340"/>
      <c r="G8" s="340"/>
      <c r="H8" s="340"/>
      <c r="I8" s="340"/>
      <c r="J8" s="340"/>
      <c r="K8" s="340"/>
      <c r="L8" s="340"/>
      <c r="M8" s="340"/>
      <c r="N8" s="340"/>
    </row>
    <row r="9" spans="2:14" ht="18.600000000000001" customHeight="1" x14ac:dyDescent="0.25">
      <c r="B9" s="339"/>
      <c r="C9" s="327" t="s">
        <v>211</v>
      </c>
      <c r="D9" s="341"/>
      <c r="E9" s="340"/>
      <c r="F9" s="340"/>
      <c r="G9" s="340"/>
      <c r="H9" s="340"/>
      <c r="I9" s="340"/>
      <c r="J9" s="340"/>
      <c r="K9" s="340"/>
      <c r="L9" s="340"/>
      <c r="M9" s="340"/>
      <c r="N9" s="340"/>
    </row>
    <row r="10" spans="2:14" x14ac:dyDescent="0.25">
      <c r="C10" s="340"/>
      <c r="D10" s="340"/>
      <c r="E10" s="340"/>
      <c r="F10" s="340"/>
      <c r="G10" s="340"/>
      <c r="H10" s="340"/>
      <c r="I10" s="340"/>
      <c r="J10" s="340"/>
      <c r="K10" s="340"/>
      <c r="L10" s="340"/>
      <c r="M10" s="340"/>
      <c r="N10" s="340"/>
    </row>
    <row r="11" spans="2:14" ht="18.600000000000001" customHeight="1" x14ac:dyDescent="0.25">
      <c r="B11" s="339" t="s">
        <v>210</v>
      </c>
      <c r="C11" s="327" t="s">
        <v>209</v>
      </c>
      <c r="D11" s="341"/>
      <c r="E11" s="340"/>
      <c r="F11" s="340"/>
      <c r="G11" s="343" t="s">
        <v>208</v>
      </c>
      <c r="H11" s="343"/>
      <c r="I11" s="343"/>
      <c r="J11" s="343"/>
      <c r="K11" s="343"/>
      <c r="L11" s="343"/>
      <c r="M11" s="340"/>
      <c r="N11" s="340"/>
    </row>
    <row r="12" spans="2:14" ht="18.600000000000001" customHeight="1" x14ac:dyDescent="0.25">
      <c r="B12" s="339"/>
      <c r="C12" s="327" t="s">
        <v>207</v>
      </c>
      <c r="D12" s="341"/>
      <c r="E12" s="340"/>
      <c r="F12" s="340"/>
      <c r="G12" s="343"/>
      <c r="H12" s="343"/>
      <c r="I12" s="343"/>
      <c r="J12" s="343"/>
      <c r="K12" s="343"/>
      <c r="L12" s="343"/>
      <c r="M12" s="340"/>
      <c r="N12" s="340"/>
    </row>
    <row r="13" spans="2:14" ht="18.600000000000001" customHeight="1" x14ac:dyDescent="0.25">
      <c r="B13" s="339"/>
      <c r="C13" s="345" t="s">
        <v>206</v>
      </c>
      <c r="D13" s="344"/>
      <c r="E13" s="340"/>
      <c r="F13" s="340"/>
      <c r="G13" s="343"/>
      <c r="H13" s="343"/>
      <c r="I13" s="343"/>
      <c r="J13" s="343"/>
      <c r="K13" s="343"/>
      <c r="L13" s="343"/>
      <c r="M13" s="340"/>
      <c r="N13" s="340"/>
    </row>
    <row r="14" spans="2:14" ht="18.600000000000001" customHeight="1" x14ac:dyDescent="0.25">
      <c r="B14" s="339"/>
      <c r="C14" s="342" t="s">
        <v>205</v>
      </c>
      <c r="D14" s="341"/>
      <c r="E14" s="340"/>
      <c r="F14" s="340"/>
      <c r="G14" s="343"/>
      <c r="H14" s="343"/>
      <c r="I14" s="343"/>
      <c r="J14" s="343"/>
      <c r="K14" s="343"/>
      <c r="L14" s="343"/>
      <c r="M14" s="340"/>
      <c r="N14" s="340"/>
    </row>
    <row r="15" spans="2:14" ht="18.600000000000001" customHeight="1" x14ac:dyDescent="0.25">
      <c r="B15" s="339"/>
      <c r="C15" s="342" t="s">
        <v>204</v>
      </c>
      <c r="D15" s="341"/>
      <c r="E15" s="340"/>
      <c r="F15" s="340"/>
      <c r="G15" s="340"/>
      <c r="H15" s="340"/>
      <c r="I15" s="340"/>
      <c r="J15" s="340"/>
      <c r="K15" s="340"/>
      <c r="L15" s="340"/>
      <c r="M15" s="340"/>
      <c r="N15" s="340"/>
    </row>
    <row r="16" spans="2:14" ht="18.600000000000001" customHeight="1" x14ac:dyDescent="0.25">
      <c r="B16" s="339"/>
      <c r="C16" s="327" t="s">
        <v>203</v>
      </c>
      <c r="D16" s="341"/>
      <c r="E16" s="340"/>
      <c r="F16" s="340"/>
      <c r="G16" s="340"/>
      <c r="H16" s="340"/>
      <c r="I16" s="340"/>
      <c r="J16" s="340"/>
      <c r="K16" s="340"/>
      <c r="L16" s="340"/>
      <c r="M16" s="340"/>
      <c r="N16" s="340"/>
    </row>
    <row r="17" spans="2:15" x14ac:dyDescent="0.25">
      <c r="C17" s="340"/>
      <c r="D17" s="340"/>
      <c r="E17" s="340"/>
      <c r="F17" s="340"/>
      <c r="G17" s="340"/>
      <c r="H17" s="340"/>
      <c r="I17" s="340"/>
      <c r="J17" s="340"/>
      <c r="K17" s="340"/>
      <c r="L17" s="340"/>
      <c r="M17" s="340"/>
      <c r="N17" s="340"/>
    </row>
    <row r="18" spans="2:15" ht="24" customHeight="1" x14ac:dyDescent="0.25">
      <c r="B18" s="339" t="s">
        <v>202</v>
      </c>
      <c r="C18" s="339"/>
      <c r="D18" s="339"/>
      <c r="E18" s="339"/>
      <c r="F18" s="339"/>
      <c r="G18" s="339"/>
      <c r="H18" s="339"/>
      <c r="I18" s="339"/>
      <c r="J18" s="339"/>
      <c r="K18" s="339"/>
      <c r="L18" s="339"/>
      <c r="M18" s="339"/>
      <c r="N18" s="339"/>
    </row>
    <row r="19" spans="2:15" ht="18.600000000000001" customHeight="1" x14ac:dyDescent="0.25">
      <c r="B19" s="338"/>
      <c r="C19" s="338"/>
      <c r="D19" s="337" t="s">
        <v>201</v>
      </c>
      <c r="E19" s="337" t="s">
        <v>200</v>
      </c>
      <c r="F19" s="337" t="s">
        <v>199</v>
      </c>
      <c r="G19" s="337" t="s">
        <v>198</v>
      </c>
      <c r="H19" s="337" t="s">
        <v>197</v>
      </c>
      <c r="I19" s="337" t="s">
        <v>196</v>
      </c>
      <c r="J19" s="337" t="s">
        <v>195</v>
      </c>
      <c r="K19" s="337" t="s">
        <v>194</v>
      </c>
      <c r="L19" s="337" t="s">
        <v>193</v>
      </c>
      <c r="M19" s="337" t="s">
        <v>192</v>
      </c>
      <c r="N19" s="337" t="s">
        <v>191</v>
      </c>
      <c r="O19" s="332" t="s">
        <v>190</v>
      </c>
    </row>
    <row r="20" spans="2:15" ht="18.600000000000001" customHeight="1" x14ac:dyDescent="0.25">
      <c r="B20" s="336" t="s">
        <v>189</v>
      </c>
      <c r="C20" s="336"/>
      <c r="D20" s="326"/>
      <c r="E20" s="326"/>
      <c r="F20" s="326"/>
      <c r="G20" s="326"/>
      <c r="H20" s="326"/>
      <c r="I20" s="326"/>
      <c r="J20" s="326"/>
      <c r="K20" s="326"/>
      <c r="L20" s="326"/>
      <c r="M20" s="326"/>
      <c r="N20" s="326"/>
      <c r="O20" s="332"/>
    </row>
    <row r="21" spans="2:15" ht="18.600000000000001" customHeight="1" x14ac:dyDescent="0.25">
      <c r="B21" s="336" t="s">
        <v>188</v>
      </c>
      <c r="C21" s="336"/>
      <c r="D21" s="326"/>
      <c r="E21" s="326"/>
      <c r="F21" s="326"/>
      <c r="G21" s="326"/>
      <c r="H21" s="326"/>
      <c r="I21" s="326"/>
      <c r="J21" s="326"/>
      <c r="K21" s="326"/>
      <c r="L21" s="326"/>
      <c r="M21" s="326"/>
      <c r="N21" s="326"/>
      <c r="O21" s="332"/>
    </row>
    <row r="22" spans="2:15" ht="24" customHeight="1" x14ac:dyDescent="0.25">
      <c r="B22" s="335" t="s">
        <v>187</v>
      </c>
      <c r="C22" s="334"/>
      <c r="D22" s="333">
        <f>SUM(D23:D35)</f>
        <v>0</v>
      </c>
      <c r="E22" s="333">
        <f>SUM(E23:E35)</f>
        <v>0</v>
      </c>
      <c r="F22" s="333">
        <f>SUM(F23:F35)</f>
        <v>0</v>
      </c>
      <c r="G22" s="333">
        <f>SUM(G23:G35)</f>
        <v>0</v>
      </c>
      <c r="H22" s="333">
        <f>SUM(H23:H35)</f>
        <v>0</v>
      </c>
      <c r="I22" s="333">
        <f>SUM(I23:I35)</f>
        <v>0</v>
      </c>
      <c r="J22" s="333">
        <f>SUM(J23:J35)</f>
        <v>0</v>
      </c>
      <c r="K22" s="333">
        <f>SUM(K23:K35)</f>
        <v>0</v>
      </c>
      <c r="L22" s="333">
        <f>SUM(L23:L35)</f>
        <v>0</v>
      </c>
      <c r="M22" s="333">
        <f>SUM(M23:M35)</f>
        <v>0</v>
      </c>
      <c r="N22" s="333">
        <f>SUM(N23:N35)</f>
        <v>0</v>
      </c>
      <c r="O22" s="332"/>
    </row>
    <row r="23" spans="2:15" ht="18.600000000000001" customHeight="1" x14ac:dyDescent="0.25">
      <c r="B23" s="331" t="s">
        <v>186</v>
      </c>
      <c r="C23" s="327" t="s">
        <v>37</v>
      </c>
      <c r="D23" s="326"/>
      <c r="E23" s="326"/>
      <c r="F23" s="326"/>
      <c r="G23" s="326"/>
      <c r="H23" s="326"/>
      <c r="I23" s="326"/>
      <c r="J23" s="326"/>
      <c r="K23" s="326"/>
      <c r="L23" s="326"/>
      <c r="M23" s="326"/>
      <c r="N23" s="326"/>
    </row>
    <row r="24" spans="2:15" ht="18.600000000000001" customHeight="1" x14ac:dyDescent="0.25">
      <c r="B24" s="330"/>
      <c r="C24" s="327" t="s">
        <v>185</v>
      </c>
      <c r="D24" s="326"/>
      <c r="E24" s="326"/>
      <c r="F24" s="326"/>
      <c r="G24" s="326"/>
      <c r="H24" s="326"/>
      <c r="I24" s="326"/>
      <c r="J24" s="326"/>
      <c r="K24" s="326"/>
      <c r="L24" s="326"/>
      <c r="M24" s="326"/>
      <c r="N24" s="326"/>
    </row>
    <row r="25" spans="2:15" ht="18.600000000000001" customHeight="1" x14ac:dyDescent="0.25">
      <c r="B25" s="330"/>
      <c r="C25" s="327" t="s">
        <v>184</v>
      </c>
      <c r="D25" s="326"/>
      <c r="E25" s="326"/>
      <c r="F25" s="326"/>
      <c r="G25" s="326"/>
      <c r="H25" s="326"/>
      <c r="I25" s="326"/>
      <c r="J25" s="326"/>
      <c r="K25" s="326"/>
      <c r="L25" s="326"/>
      <c r="M25" s="326"/>
      <c r="N25" s="326"/>
    </row>
    <row r="26" spans="2:15" ht="18.600000000000001" customHeight="1" x14ac:dyDescent="0.25">
      <c r="B26" s="330"/>
      <c r="C26" s="327" t="s">
        <v>183</v>
      </c>
      <c r="D26" s="326"/>
      <c r="E26" s="326"/>
      <c r="F26" s="326"/>
      <c r="G26" s="326"/>
      <c r="H26" s="326"/>
      <c r="I26" s="326"/>
      <c r="J26" s="326"/>
      <c r="K26" s="326"/>
      <c r="L26" s="326"/>
      <c r="M26" s="326"/>
      <c r="N26" s="326"/>
    </row>
    <row r="27" spans="2:15" ht="18.600000000000001" customHeight="1" x14ac:dyDescent="0.25">
      <c r="B27" s="330"/>
      <c r="C27" s="327" t="s">
        <v>182</v>
      </c>
      <c r="D27" s="326"/>
      <c r="E27" s="326"/>
      <c r="F27" s="326"/>
      <c r="G27" s="326"/>
      <c r="H27" s="326"/>
      <c r="I27" s="326"/>
      <c r="J27" s="326"/>
      <c r="K27" s="326"/>
      <c r="L27" s="326"/>
      <c r="M27" s="326"/>
      <c r="N27" s="326"/>
    </row>
    <row r="28" spans="2:15" ht="18.600000000000001" customHeight="1" x14ac:dyDescent="0.25">
      <c r="B28" s="330"/>
      <c r="C28" s="327" t="s">
        <v>181</v>
      </c>
      <c r="D28" s="326"/>
      <c r="E28" s="326"/>
      <c r="F28" s="326"/>
      <c r="G28" s="326"/>
      <c r="H28" s="326"/>
      <c r="I28" s="326"/>
      <c r="J28" s="326"/>
      <c r="K28" s="326"/>
      <c r="L28" s="326"/>
      <c r="M28" s="326"/>
      <c r="N28" s="326"/>
    </row>
    <row r="29" spans="2:15" ht="18.600000000000001" customHeight="1" x14ac:dyDescent="0.25">
      <c r="B29" s="329"/>
      <c r="C29" s="327" t="s">
        <v>180</v>
      </c>
      <c r="D29" s="326"/>
      <c r="E29" s="326"/>
      <c r="F29" s="326"/>
      <c r="G29" s="326"/>
      <c r="H29" s="326"/>
      <c r="I29" s="326"/>
      <c r="J29" s="326"/>
      <c r="K29" s="326"/>
      <c r="L29" s="326"/>
      <c r="M29" s="326"/>
      <c r="N29" s="326"/>
    </row>
    <row r="30" spans="2:15" ht="18.600000000000001" customHeight="1" x14ac:dyDescent="0.25">
      <c r="B30" s="328" t="s">
        <v>179</v>
      </c>
      <c r="C30" s="327" t="s">
        <v>178</v>
      </c>
      <c r="D30" s="326"/>
      <c r="E30" s="326"/>
      <c r="F30" s="326"/>
      <c r="G30" s="326"/>
      <c r="H30" s="326"/>
      <c r="I30" s="326"/>
      <c r="J30" s="326"/>
      <c r="K30" s="326"/>
      <c r="L30" s="326"/>
      <c r="M30" s="326"/>
      <c r="N30" s="326"/>
    </row>
    <row r="31" spans="2:15" ht="18.600000000000001" customHeight="1" x14ac:dyDescent="0.25">
      <c r="B31" s="328"/>
      <c r="C31" s="327" t="s">
        <v>177</v>
      </c>
      <c r="D31" s="326"/>
      <c r="E31" s="326"/>
      <c r="F31" s="326"/>
      <c r="G31" s="326"/>
      <c r="H31" s="326"/>
      <c r="I31" s="326"/>
      <c r="J31" s="326"/>
      <c r="K31" s="326"/>
      <c r="L31" s="326"/>
      <c r="M31" s="326"/>
      <c r="N31" s="326"/>
    </row>
    <row r="32" spans="2:15" ht="18.600000000000001" customHeight="1" x14ac:dyDescent="0.25">
      <c r="B32" s="328"/>
      <c r="C32" s="327" t="s">
        <v>49</v>
      </c>
      <c r="D32" s="326"/>
      <c r="E32" s="326"/>
      <c r="F32" s="326"/>
      <c r="G32" s="326"/>
      <c r="H32" s="326"/>
      <c r="I32" s="326"/>
      <c r="J32" s="326"/>
      <c r="K32" s="326"/>
      <c r="L32" s="326"/>
      <c r="M32" s="326"/>
      <c r="N32" s="326"/>
    </row>
    <row r="33" spans="2:14" ht="18.600000000000001" customHeight="1" x14ac:dyDescent="0.25">
      <c r="B33" s="328"/>
      <c r="C33" s="327" t="s">
        <v>176</v>
      </c>
      <c r="D33" s="326"/>
      <c r="E33" s="326"/>
      <c r="F33" s="326"/>
      <c r="G33" s="326"/>
      <c r="H33" s="326"/>
      <c r="I33" s="326"/>
      <c r="J33" s="326"/>
      <c r="K33" s="326"/>
      <c r="L33" s="326"/>
      <c r="M33" s="326"/>
      <c r="N33" s="326"/>
    </row>
    <row r="34" spans="2:14" ht="18.600000000000001" customHeight="1" x14ac:dyDescent="0.25">
      <c r="B34" s="328"/>
      <c r="C34" s="327" t="s">
        <v>98</v>
      </c>
      <c r="D34" s="326"/>
      <c r="E34" s="326"/>
      <c r="F34" s="326"/>
      <c r="G34" s="326"/>
      <c r="H34" s="326"/>
      <c r="I34" s="326"/>
      <c r="J34" s="326"/>
      <c r="K34" s="326"/>
      <c r="L34" s="326"/>
      <c r="M34" s="326"/>
      <c r="N34" s="326"/>
    </row>
    <row r="35" spans="2:14" ht="18.600000000000001" customHeight="1" x14ac:dyDescent="0.25">
      <c r="B35" s="328"/>
      <c r="C35" s="327" t="s">
        <v>175</v>
      </c>
      <c r="D35" s="326"/>
      <c r="E35" s="326"/>
      <c r="F35" s="326"/>
      <c r="G35" s="326"/>
      <c r="H35" s="326"/>
      <c r="I35" s="326"/>
      <c r="J35" s="326"/>
      <c r="K35" s="326"/>
      <c r="L35" s="326"/>
      <c r="M35" s="326"/>
      <c r="N35" s="326"/>
    </row>
    <row r="36" spans="2:14" ht="15.75" thickBot="1" x14ac:dyDescent="0.3"/>
    <row r="37" spans="2:14" ht="19.5" thickBot="1" x14ac:dyDescent="0.3">
      <c r="B37" s="357" t="s">
        <v>220</v>
      </c>
      <c r="C37" s="358"/>
      <c r="D37" s="359"/>
    </row>
    <row r="38" spans="2:14" ht="16.5" thickBot="1" x14ac:dyDescent="0.3">
      <c r="B38" s="346" t="s">
        <v>135</v>
      </c>
      <c r="C38" s="347" t="s">
        <v>221</v>
      </c>
      <c r="D38" s="348" t="s">
        <v>222</v>
      </c>
    </row>
    <row r="39" spans="2:14" ht="47.25" x14ac:dyDescent="0.25">
      <c r="B39" s="349" t="s">
        <v>223</v>
      </c>
      <c r="C39" s="352" t="s">
        <v>225</v>
      </c>
      <c r="D39" s="354" t="s">
        <v>230</v>
      </c>
    </row>
    <row r="40" spans="2:14" ht="31.5" x14ac:dyDescent="0.25">
      <c r="B40" s="349" t="s">
        <v>224</v>
      </c>
      <c r="C40" s="352" t="s">
        <v>226</v>
      </c>
      <c r="D40" s="354" t="s">
        <v>231</v>
      </c>
    </row>
    <row r="41" spans="2:14" x14ac:dyDescent="0.25">
      <c r="B41" s="350"/>
      <c r="C41" s="352" t="s">
        <v>227</v>
      </c>
      <c r="D41" s="355"/>
    </row>
    <row r="42" spans="2:14" x14ac:dyDescent="0.25">
      <c r="B42" s="350"/>
      <c r="C42" s="352" t="s">
        <v>228</v>
      </c>
      <c r="D42" s="355"/>
    </row>
    <row r="43" spans="2:14" ht="15.75" thickBot="1" x14ac:dyDescent="0.3">
      <c r="B43" s="351"/>
      <c r="C43" s="353" t="s">
        <v>229</v>
      </c>
      <c r="D43" s="356"/>
    </row>
    <row r="44" spans="2:14" ht="47.25" x14ac:dyDescent="0.25">
      <c r="B44" s="349" t="s">
        <v>232</v>
      </c>
      <c r="C44" s="352" t="s">
        <v>233</v>
      </c>
      <c r="D44" s="354" t="s">
        <v>230</v>
      </c>
    </row>
    <row r="45" spans="2:14" ht="31.5" x14ac:dyDescent="0.25">
      <c r="B45" s="349" t="s">
        <v>224</v>
      </c>
      <c r="C45" s="352" t="s">
        <v>234</v>
      </c>
      <c r="D45" s="354" t="s">
        <v>231</v>
      </c>
    </row>
    <row r="46" spans="2:14" x14ac:dyDescent="0.25">
      <c r="B46" s="350"/>
      <c r="C46" s="352" t="s">
        <v>227</v>
      </c>
      <c r="D46" s="355"/>
    </row>
    <row r="47" spans="2:14" x14ac:dyDescent="0.25">
      <c r="B47" s="350"/>
      <c r="C47" s="352" t="s">
        <v>228</v>
      </c>
      <c r="D47" s="355"/>
    </row>
    <row r="48" spans="2:14" ht="15.75" thickBot="1" x14ac:dyDescent="0.3">
      <c r="B48" s="351"/>
      <c r="C48" s="353" t="s">
        <v>229</v>
      </c>
      <c r="D48" s="356"/>
    </row>
    <row r="49" spans="2:4" ht="47.25" x14ac:dyDescent="0.25">
      <c r="B49" s="349" t="s">
        <v>235</v>
      </c>
      <c r="C49" s="352" t="s">
        <v>236</v>
      </c>
      <c r="D49" s="354" t="s">
        <v>230</v>
      </c>
    </row>
    <row r="50" spans="2:4" ht="31.5" x14ac:dyDescent="0.25">
      <c r="B50" s="349" t="s">
        <v>224</v>
      </c>
      <c r="C50" s="352" t="s">
        <v>237</v>
      </c>
      <c r="D50" s="354" t="s">
        <v>231</v>
      </c>
    </row>
    <row r="51" spans="2:4" ht="25.5" x14ac:dyDescent="0.25">
      <c r="B51" s="350"/>
      <c r="C51" s="352" t="s">
        <v>238</v>
      </c>
      <c r="D51" s="355"/>
    </row>
    <row r="52" spans="2:4" x14ac:dyDescent="0.25">
      <c r="B52" s="350"/>
      <c r="C52" s="352" t="s">
        <v>228</v>
      </c>
      <c r="D52" s="355"/>
    </row>
    <row r="53" spans="2:4" ht="15.75" thickBot="1" x14ac:dyDescent="0.3">
      <c r="B53" s="351"/>
      <c r="C53" s="353" t="s">
        <v>229</v>
      </c>
      <c r="D53" s="356"/>
    </row>
    <row r="54" spans="2:4" ht="47.25" x14ac:dyDescent="0.25">
      <c r="B54" s="349" t="s">
        <v>239</v>
      </c>
      <c r="C54" s="352" t="s">
        <v>240</v>
      </c>
      <c r="D54" s="354" t="s">
        <v>230</v>
      </c>
    </row>
    <row r="55" spans="2:4" ht="31.5" x14ac:dyDescent="0.25">
      <c r="B55" s="349" t="s">
        <v>224</v>
      </c>
      <c r="C55" s="352" t="s">
        <v>241</v>
      </c>
      <c r="D55" s="354" t="s">
        <v>231</v>
      </c>
    </row>
    <row r="56" spans="2:4" x14ac:dyDescent="0.25">
      <c r="B56" s="350"/>
      <c r="C56" s="352" t="s">
        <v>242</v>
      </c>
      <c r="D56" s="355"/>
    </row>
    <row r="57" spans="2:4" x14ac:dyDescent="0.25">
      <c r="B57" s="350"/>
      <c r="C57" s="352" t="s">
        <v>228</v>
      </c>
      <c r="D57" s="355"/>
    </row>
    <row r="58" spans="2:4" ht="15.75" thickBot="1" x14ac:dyDescent="0.3">
      <c r="B58" s="351"/>
      <c r="C58" s="353" t="s">
        <v>229</v>
      </c>
      <c r="D58" s="356"/>
    </row>
    <row r="59" spans="2:4" ht="15.75" x14ac:dyDescent="0.25">
      <c r="B59" s="360"/>
    </row>
    <row r="86" spans="4:9" x14ac:dyDescent="0.25">
      <c r="F86" t="s">
        <v>174</v>
      </c>
    </row>
    <row r="95" spans="4:9" x14ac:dyDescent="0.25">
      <c r="D95" t="s">
        <v>173</v>
      </c>
      <c r="E95" t="s">
        <v>172</v>
      </c>
      <c r="F95" t="s">
        <v>171</v>
      </c>
      <c r="G95" t="s">
        <v>170</v>
      </c>
      <c r="H95" t="s">
        <v>169</v>
      </c>
      <c r="I95" t="s">
        <v>168</v>
      </c>
    </row>
    <row r="96" spans="4:9" x14ac:dyDescent="0.25">
      <c r="D96" t="s">
        <v>167</v>
      </c>
      <c r="E96" t="s">
        <v>166</v>
      </c>
      <c r="F96" t="s">
        <v>165</v>
      </c>
      <c r="G96" t="s">
        <v>164</v>
      </c>
      <c r="H96" t="s">
        <v>163</v>
      </c>
      <c r="I96" t="s">
        <v>162</v>
      </c>
    </row>
    <row r="97" spans="4:9" x14ac:dyDescent="0.25">
      <c r="D97" t="s">
        <v>161</v>
      </c>
      <c r="F97" t="s">
        <v>160</v>
      </c>
      <c r="G97" t="s">
        <v>159</v>
      </c>
      <c r="H97" t="s">
        <v>158</v>
      </c>
      <c r="I97" t="s">
        <v>157</v>
      </c>
    </row>
    <row r="98" spans="4:9" x14ac:dyDescent="0.25">
      <c r="D98" t="s">
        <v>156</v>
      </c>
      <c r="G98" t="s">
        <v>155</v>
      </c>
    </row>
    <row r="99" spans="4:9" x14ac:dyDescent="0.25">
      <c r="G99" t="s">
        <v>154</v>
      </c>
    </row>
    <row r="100" spans="4:9" x14ac:dyDescent="0.25">
      <c r="G100" t="s">
        <v>153</v>
      </c>
    </row>
    <row r="101" spans="4:9" x14ac:dyDescent="0.25">
      <c r="G101" t="s">
        <v>152</v>
      </c>
    </row>
  </sheetData>
  <mergeCells count="14">
    <mergeCell ref="O19:O22"/>
    <mergeCell ref="B18:N18"/>
    <mergeCell ref="B19:C19"/>
    <mergeCell ref="B20:C20"/>
    <mergeCell ref="B21:C21"/>
    <mergeCell ref="B37:D37"/>
    <mergeCell ref="G11:L14"/>
    <mergeCell ref="B23:B29"/>
    <mergeCell ref="B30:B35"/>
    <mergeCell ref="B22:C22"/>
    <mergeCell ref="C13:D13"/>
    <mergeCell ref="B2:B3"/>
    <mergeCell ref="B5:B9"/>
    <mergeCell ref="B11:B16"/>
  </mergeCells>
  <dataValidations count="6">
    <dataValidation type="list" allowBlank="1" showInputMessage="1" showErrorMessage="1" sqref="D16" xr:uid="{00000000-0002-0000-0000-000005000000}">
      <formula1>$I$95:$I$97</formula1>
    </dataValidation>
    <dataValidation type="list" allowBlank="1" showInputMessage="1" showErrorMessage="1" sqref="D14" xr:uid="{00000000-0002-0000-0000-000004000000}">
      <formula1>$H$95:$H$97</formula1>
    </dataValidation>
    <dataValidation type="list" allowBlank="1" showInputMessage="1" showErrorMessage="1" sqref="D12" xr:uid="{00000000-0002-0000-0000-000003000000}">
      <formula1>$G$95:$G$101</formula1>
    </dataValidation>
    <dataValidation type="list" allowBlank="1" showInputMessage="1" showErrorMessage="1" sqref="D9" xr:uid="{00000000-0002-0000-0000-000002000000}">
      <formula1>$F$95:$F$97</formula1>
    </dataValidation>
    <dataValidation type="list" allowBlank="1" showInputMessage="1" showErrorMessage="1" sqref="D8" xr:uid="{00000000-0002-0000-0000-000001000000}">
      <formula1>$E$95:$E$96</formula1>
    </dataValidation>
    <dataValidation type="list" allowBlank="1" showInputMessage="1" showErrorMessage="1" sqref="D7" xr:uid="{00000000-0002-0000-0000-000000000000}">
      <formula1>$D$95:$D$98</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VSaaS Cloud</vt:lpstr>
      <vt:lpstr>VSaaS- On Premise</vt:lpstr>
      <vt:lpstr>Credits Description</vt:lpstr>
      <vt:lpstr>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 Jhaveri</dc:creator>
  <cp:lastModifiedBy>Samir Jhaveri</cp:lastModifiedBy>
  <cp:lastPrinted>2026-02-10T09:09:14Z</cp:lastPrinted>
  <dcterms:created xsi:type="dcterms:W3CDTF">2015-02-04T09:50:33Z</dcterms:created>
  <dcterms:modified xsi:type="dcterms:W3CDTF">2026-02-16T13:42:07Z</dcterms:modified>
</cp:coreProperties>
</file>