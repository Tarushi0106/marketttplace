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Tarushi Chaudhary\Downloads\"/>
    </mc:Choice>
  </mc:AlternateContent>
  <xr:revisionPtr revIDLastSave="0" documentId="13_ncr:1_{D338ECF3-2328-40F0-8768-35E2B68802FC}" xr6:coauthVersionLast="47" xr6:coauthVersionMax="47" xr10:uidLastSave="{00000000-0000-0000-0000-000000000000}"/>
  <bookViews>
    <workbookView xWindow="-98" yWindow="-98" windowWidth="21795" windowHeight="12975" tabRatio="246" xr2:uid="{00000000-000D-0000-FFFF-FFFF00000000}"/>
  </bookViews>
  <sheets>
    <sheet name="Tally India Clo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M30" i="1"/>
  <c r="L30" i="1"/>
  <c r="E30" i="1"/>
  <c r="F30" i="1"/>
  <c r="G30" i="1"/>
  <c r="I30" i="1"/>
  <c r="K30" i="1"/>
  <c r="J30" i="1"/>
  <c r="H30" i="1"/>
  <c r="D33" i="1"/>
  <c r="D38" i="1" l="1"/>
  <c r="D35" i="1" l="1"/>
  <c r="D43" i="1" l="1"/>
  <c r="D42" i="1" l="1"/>
  <c r="H42" i="1" l="1"/>
  <c r="H43" i="1"/>
  <c r="D39" i="1" l="1"/>
  <c r="D34" i="1" l="1"/>
  <c r="D37" i="1" l="1"/>
  <c r="D41" i="1" l="1"/>
  <c r="D40" i="1" l="1"/>
  <c r="G33" i="1" l="1"/>
  <c r="M33" i="1" l="1"/>
  <c r="M38" i="1" l="1"/>
  <c r="M36" i="1" l="1"/>
  <c r="K36" i="1" l="1"/>
  <c r="L36" i="1" l="1"/>
  <c r="F36" i="1"/>
  <c r="G36" i="1"/>
  <c r="I36" i="1"/>
  <c r="J36" i="1"/>
  <c r="M41" i="1" l="1"/>
  <c r="M40" i="1"/>
  <c r="M39" i="1"/>
  <c r="M37" i="1"/>
  <c r="M34" i="1"/>
  <c r="K41" i="1" l="1"/>
  <c r="K40" i="1"/>
  <c r="J40" i="1"/>
  <c r="M35" i="1"/>
  <c r="M47" i="1" s="1"/>
  <c r="K33" i="1"/>
  <c r="H33" i="1"/>
  <c r="D30" i="1"/>
  <c r="M48" i="1" l="1"/>
  <c r="E41" i="1"/>
  <c r="J41" i="1"/>
  <c r="L41" i="1"/>
  <c r="L35" i="1"/>
  <c r="G39" i="1"/>
  <c r="E40" i="1"/>
  <c r="H39" i="1"/>
  <c r="F40" i="1"/>
  <c r="G41" i="1"/>
  <c r="G37" i="1"/>
  <c r="F41" i="1"/>
  <c r="K39" i="1"/>
  <c r="G40" i="1"/>
  <c r="H41" i="1"/>
  <c r="J38" i="1"/>
  <c r="K34" i="1"/>
  <c r="E36" i="1"/>
  <c r="I40" i="1"/>
  <c r="I41" i="1"/>
  <c r="K37" i="1"/>
  <c r="H37" i="1"/>
  <c r="I33" i="1"/>
  <c r="I37" i="1"/>
  <c r="I39" i="1"/>
  <c r="J33" i="1"/>
  <c r="J37" i="1"/>
  <c r="J39" i="1"/>
  <c r="H40" i="1"/>
  <c r="K38" i="1"/>
  <c r="L38" i="1"/>
  <c r="E38" i="1"/>
  <c r="F38" i="1"/>
  <c r="G38" i="1"/>
  <c r="L33" i="1"/>
  <c r="L37" i="1"/>
  <c r="L39" i="1"/>
  <c r="E33" i="1"/>
  <c r="E37" i="1"/>
  <c r="E39" i="1"/>
  <c r="F33" i="1"/>
  <c r="F37" i="1"/>
  <c r="F39" i="1"/>
  <c r="L40" i="1"/>
  <c r="H38" i="1"/>
  <c r="I38" i="1"/>
  <c r="L34" i="1"/>
  <c r="F34" i="1"/>
  <c r="E34" i="1"/>
  <c r="G34" i="1"/>
  <c r="H34" i="1"/>
  <c r="I34" i="1"/>
  <c r="J34" i="1"/>
  <c r="E48" i="1" l="1"/>
  <c r="I47" i="1"/>
  <c r="F48" i="1"/>
  <c r="F47" i="1"/>
  <c r="H47" i="1"/>
  <c r="L47" i="1"/>
  <c r="G47" i="1"/>
  <c r="J47" i="1"/>
  <c r="E47" i="1"/>
  <c r="E50" i="1" s="1"/>
  <c r="E53" i="1" s="1"/>
  <c r="E54" i="1" s="1"/>
  <c r="K47" i="1"/>
  <c r="M50" i="1"/>
  <c r="M68" i="1"/>
  <c r="M67" i="1" s="1"/>
  <c r="M70" i="1" s="1"/>
  <c r="M58" i="1"/>
  <c r="M57" i="1" s="1"/>
  <c r="M60" i="1" s="1"/>
  <c r="M63" i="1" s="1"/>
  <c r="M64" i="1" s="1"/>
  <c r="M78" i="1"/>
  <c r="M77" i="1" s="1"/>
  <c r="M80" i="1" s="1"/>
  <c r="M81" i="1" l="1"/>
  <c r="M83" i="1"/>
  <c r="M84" i="1" s="1"/>
  <c r="M71" i="1"/>
  <c r="M73" i="1"/>
  <c r="M74" i="1" s="1"/>
  <c r="M61" i="1"/>
  <c r="M51" i="1"/>
  <c r="M53" i="1"/>
  <c r="M54" i="1" s="1"/>
  <c r="E51" i="1"/>
  <c r="E68" i="1"/>
  <c r="E78" i="1"/>
  <c r="E77" i="1" l="1"/>
  <c r="E80" i="1" s="1"/>
  <c r="E67" i="1"/>
  <c r="E70" i="1" s="1"/>
  <c r="E58" i="1"/>
  <c r="E57" i="1" s="1"/>
  <c r="E60" i="1" s="1"/>
  <c r="E63" i="1" s="1"/>
  <c r="E73" i="1" l="1"/>
  <c r="E74" i="1" s="1"/>
  <c r="E71" i="1"/>
  <c r="E83" i="1"/>
  <c r="E84" i="1" s="1"/>
  <c r="E81" i="1"/>
  <c r="E64" i="1"/>
  <c r="E61" i="1"/>
  <c r="F78" i="1" l="1"/>
  <c r="K50" i="1" l="1"/>
  <c r="K48" i="1"/>
  <c r="K58" i="1" s="1"/>
  <c r="K57" i="1" s="1"/>
  <c r="L48" i="1"/>
  <c r="L50" i="1"/>
  <c r="J48" i="1"/>
  <c r="J58" i="1" s="1"/>
  <c r="J57" i="1" s="1"/>
  <c r="J50" i="1"/>
  <c r="I50" i="1"/>
  <c r="I48" i="1"/>
  <c r="H48" i="1"/>
  <c r="J51" i="1" l="1"/>
  <c r="J53" i="1"/>
  <c r="J54" i="1" s="1"/>
  <c r="L51" i="1"/>
  <c r="L53" i="1"/>
  <c r="L54" i="1" s="1"/>
  <c r="I51" i="1"/>
  <c r="I53" i="1"/>
  <c r="I54" i="1" s="1"/>
  <c r="K51" i="1"/>
  <c r="K53" i="1"/>
  <c r="K54" i="1" s="1"/>
  <c r="H50" i="1"/>
  <c r="I78" i="1"/>
  <c r="I77" i="1" s="1"/>
  <c r="I58" i="1"/>
  <c r="I57" i="1" s="1"/>
  <c r="L58" i="1"/>
  <c r="L57" i="1" s="1"/>
  <c r="L60" i="1" s="1"/>
  <c r="L63" i="1" s="1"/>
  <c r="L64" i="1" s="1"/>
  <c r="J68" i="1"/>
  <c r="J78" i="1"/>
  <c r="J77" i="1" s="1"/>
  <c r="L68" i="1"/>
  <c r="L78" i="1"/>
  <c r="L77" i="1" s="1"/>
  <c r="L80" i="1" s="1"/>
  <c r="K68" i="1"/>
  <c r="K78" i="1"/>
  <c r="K77" i="1" s="1"/>
  <c r="K80" i="1" s="1"/>
  <c r="H68" i="1"/>
  <c r="H78" i="1"/>
  <c r="H77" i="1" s="1"/>
  <c r="I68" i="1"/>
  <c r="K60" i="1"/>
  <c r="K63" i="1" s="1"/>
  <c r="K64" i="1" s="1"/>
  <c r="H58" i="1"/>
  <c r="H57" i="1" s="1"/>
  <c r="L81" i="1" l="1"/>
  <c r="L83" i="1"/>
  <c r="L84" i="1" s="1"/>
  <c r="K81" i="1"/>
  <c r="K83" i="1"/>
  <c r="K84" i="1" s="1"/>
  <c r="L61" i="1"/>
  <c r="K61" i="1"/>
  <c r="H51" i="1"/>
  <c r="H53" i="1"/>
  <c r="H54" i="1" s="1"/>
  <c r="J67" i="1"/>
  <c r="J70" i="1" s="1"/>
  <c r="H67" i="1"/>
  <c r="H70" i="1" s="1"/>
  <c r="K67" i="1"/>
  <c r="K70" i="1" s="1"/>
  <c r="L67" i="1"/>
  <c r="L70" i="1" s="1"/>
  <c r="I67" i="1"/>
  <c r="I70" i="1" s="1"/>
  <c r="H60" i="1"/>
  <c r="H63" i="1" s="1"/>
  <c r="H64" i="1" s="1"/>
  <c r="H80" i="1"/>
  <c r="J60" i="1"/>
  <c r="J63" i="1" s="1"/>
  <c r="J64" i="1" s="1"/>
  <c r="J80" i="1"/>
  <c r="I60" i="1"/>
  <c r="I63" i="1" s="1"/>
  <c r="I64" i="1" s="1"/>
  <c r="I80" i="1"/>
  <c r="F77" i="1"/>
  <c r="F50" i="1"/>
  <c r="L71" i="1" l="1"/>
  <c r="L73" i="1"/>
  <c r="L74" i="1" s="1"/>
  <c r="I81" i="1"/>
  <c r="I83" i="1"/>
  <c r="I84" i="1" s="1"/>
  <c r="K71" i="1"/>
  <c r="K73" i="1"/>
  <c r="K74" i="1" s="1"/>
  <c r="H71" i="1"/>
  <c r="H73" i="1"/>
  <c r="H74" i="1" s="1"/>
  <c r="H81" i="1"/>
  <c r="H83" i="1"/>
  <c r="H84" i="1" s="1"/>
  <c r="J81" i="1"/>
  <c r="J83" i="1"/>
  <c r="J84" i="1" s="1"/>
  <c r="I71" i="1"/>
  <c r="I73" i="1"/>
  <c r="I74" i="1" s="1"/>
  <c r="J71" i="1"/>
  <c r="J73" i="1"/>
  <c r="J74" i="1" s="1"/>
  <c r="I61" i="1"/>
  <c r="F51" i="1"/>
  <c r="F53" i="1"/>
  <c r="F54" i="1" s="1"/>
  <c r="J61" i="1"/>
  <c r="H61" i="1"/>
  <c r="F58" i="1"/>
  <c r="F57" i="1" s="1"/>
  <c r="F68" i="1"/>
  <c r="F67" i="1" l="1"/>
  <c r="F70" i="1" s="1"/>
  <c r="F60" i="1"/>
  <c r="F63" i="1" s="1"/>
  <c r="F80" i="1"/>
  <c r="F81" i="1" l="1"/>
  <c r="F83" i="1"/>
  <c r="F84" i="1" s="1"/>
  <c r="F73" i="1"/>
  <c r="F74" i="1" s="1"/>
  <c r="F71" i="1"/>
  <c r="F61" i="1"/>
  <c r="F64" i="1"/>
  <c r="G50" i="1"/>
  <c r="G48" i="1"/>
  <c r="G51" i="1" l="1"/>
  <c r="G53" i="1"/>
  <c r="G54" i="1" s="1"/>
  <c r="G68" i="1"/>
  <c r="G78" i="1"/>
  <c r="G77" i="1" s="1"/>
  <c r="G58" i="1"/>
  <c r="G57" i="1" s="1"/>
  <c r="G67" i="1" l="1"/>
  <c r="G70" i="1" s="1"/>
  <c r="G60" i="1"/>
  <c r="G63" i="1" s="1"/>
  <c r="G64" i="1" s="1"/>
  <c r="G80" i="1"/>
  <c r="G81" i="1" l="1"/>
  <c r="G83" i="1"/>
  <c r="G84" i="1" s="1"/>
  <c r="G71" i="1"/>
  <c r="G73" i="1"/>
  <c r="G74" i="1" s="1"/>
  <c r="G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Samir Jhaveri</author>
  </authors>
  <commentList>
    <comment ref="C33" authorId="0" shapeId="0" xr:uid="{A9B818FA-44CA-4151-B45E-4E46CE571626}">
      <text>
        <r>
          <rPr>
            <b/>
            <sz val="9"/>
            <color indexed="81"/>
            <rFont val="Tahoma"/>
            <family val="2"/>
          </rPr>
          <t>Samir Jhaveri:</t>
        </r>
        <r>
          <rPr>
            <sz val="9"/>
            <color indexed="81"/>
            <rFont val="Tahoma"/>
            <family val="2"/>
          </rPr>
          <t xml:space="preserve">
Enter No of User here</t>
        </r>
      </text>
    </comment>
  </commentList>
</comments>
</file>

<file path=xl/sharedStrings.xml><?xml version="1.0" encoding="utf-8"?>
<sst xmlns="http://schemas.openxmlformats.org/spreadsheetml/2006/main" count="239" uniqueCount="156">
  <si>
    <t xml:space="preserve">Shaurrya Tele Services </t>
  </si>
  <si>
    <t>Currency Calculator</t>
  </si>
  <si>
    <t>Base Currency Unit</t>
  </si>
  <si>
    <t>USD</t>
  </si>
  <si>
    <t>603, Laxmi Plaza, Bldg. No. 9,Laxmi Industrial Estate, Andheri (W), Mumbai - 400053 </t>
  </si>
  <si>
    <t>Quote Currency  Unit</t>
  </si>
  <si>
    <t>INR</t>
  </si>
  <si>
    <t>Mob:  +91 9969773649</t>
  </si>
  <si>
    <t>Currency Exchange Rate</t>
  </si>
  <si>
    <t>Website :  http://www.shaurryatele.com   Email : sales@shaurryatele.com</t>
  </si>
  <si>
    <t>Partner Margin %</t>
  </si>
  <si>
    <t>Purchase Price from XcellHost %</t>
  </si>
  <si>
    <t>Cloud Location :  India - Mumbai Cloud</t>
  </si>
  <si>
    <t xml:space="preserve">Customer Details </t>
  </si>
  <si>
    <t xml:space="preserve">Partner Details :  </t>
  </si>
  <si>
    <t>STS Sales Team</t>
  </si>
  <si>
    <t>Company Name :</t>
  </si>
  <si>
    <t xml:space="preserve">Partner Company Name: </t>
  </si>
  <si>
    <t xml:space="preserve">Sales Rep :   </t>
  </si>
  <si>
    <t xml:space="preserve">Contact Person  : Mr </t>
  </si>
  <si>
    <t xml:space="preserve">Partner Contact Person  :  </t>
  </si>
  <si>
    <t xml:space="preserve">Pre-Sales :  </t>
  </si>
  <si>
    <t>Phone No : +91</t>
  </si>
  <si>
    <t>Partner Phone No : +91</t>
  </si>
  <si>
    <t>Quote Date :  01-03-25</t>
  </si>
  <si>
    <t xml:space="preserve">Email : </t>
  </si>
  <si>
    <t>Quote Date :  01-04-25</t>
  </si>
  <si>
    <t>ShaurryaApps | Secure Cloud Server</t>
  </si>
  <si>
    <t>Item Description</t>
  </si>
  <si>
    <t>Cloud 
Multi-Tenant</t>
  </si>
  <si>
    <t>Private Cloud  Lite</t>
  </si>
  <si>
    <t>Private Cloud  X Small</t>
  </si>
  <si>
    <t>Private Cloud Small</t>
  </si>
  <si>
    <t>Private Cloud Medium</t>
  </si>
  <si>
    <t>Private Cloud X Large</t>
  </si>
  <si>
    <t>Private Cloud XX Large</t>
  </si>
  <si>
    <t>Private Cloud XXX Large</t>
  </si>
  <si>
    <t>For 1-2  Users</t>
  </si>
  <si>
    <t>For 3 - 4 Users</t>
  </si>
  <si>
    <t>For  5 Users</t>
  </si>
  <si>
    <t>For 10  Users</t>
  </si>
  <si>
    <t>For 11 to 15 Users</t>
  </si>
  <si>
    <t>For 16 to 20 Users</t>
  </si>
  <si>
    <t>For 21+ to 30 Users</t>
  </si>
  <si>
    <t xml:space="preserve">For 31+ to 50 Users </t>
  </si>
  <si>
    <t xml:space="preserve">For 51+ to 75 Users </t>
  </si>
  <si>
    <t>Server Type</t>
  </si>
  <si>
    <t>-</t>
  </si>
  <si>
    <t>G3.4 GB</t>
  </si>
  <si>
    <t>G3.6 GB</t>
  </si>
  <si>
    <t>G3.8 GB</t>
  </si>
  <si>
    <t>G3.16 GB</t>
  </si>
  <si>
    <t>G3.32 GB</t>
  </si>
  <si>
    <t>G3.48 GB</t>
  </si>
  <si>
    <t>G3.64 GB</t>
  </si>
  <si>
    <t>Cloud Server Disk Space </t>
  </si>
  <si>
    <t>10 GB</t>
  </si>
  <si>
    <t>100 GB</t>
  </si>
  <si>
    <t>125 GB</t>
  </si>
  <si>
    <t>150 GB</t>
  </si>
  <si>
    <t>200 GB</t>
  </si>
  <si>
    <t>300 GB</t>
  </si>
  <si>
    <t>400 GB</t>
  </si>
  <si>
    <t>500 GB</t>
  </si>
  <si>
    <t xml:space="preserve">Cloud Server Virtual Memory </t>
  </si>
  <si>
    <t>Multi-Tenant</t>
  </si>
  <si>
    <t>4 GB</t>
  </si>
  <si>
    <t>6 GB</t>
  </si>
  <si>
    <t>12 GB</t>
  </si>
  <si>
    <t>16 GB</t>
  </si>
  <si>
    <t>32 GB</t>
  </si>
  <si>
    <t>64 GB</t>
  </si>
  <si>
    <t>128 GB</t>
  </si>
  <si>
    <t>Cloud Server Virtual CPU</t>
  </si>
  <si>
    <t>2 vCPU</t>
  </si>
  <si>
    <t>4 vCPU</t>
  </si>
  <si>
    <t>6 vCPU</t>
  </si>
  <si>
    <t>8 vCPU</t>
  </si>
  <si>
    <t>12 vCPU</t>
  </si>
  <si>
    <t>16 vCPU</t>
  </si>
  <si>
    <t>24 vCPU</t>
  </si>
  <si>
    <t>32 vCPU</t>
  </si>
  <si>
    <t>Monthly Data Transfer</t>
  </si>
  <si>
    <t>Unlimited</t>
  </si>
  <si>
    <t>Managed Backup (Full Image Backup)</t>
  </si>
  <si>
    <t>Every 8 hrs</t>
  </si>
  <si>
    <t xml:space="preserve">Dedicated IP Address </t>
  </si>
  <si>
    <t>SuperFast Storage</t>
  </si>
  <si>
    <t>SSD</t>
  </si>
  <si>
    <t>Operating Systems</t>
  </si>
  <si>
    <t>Windows Server 2022</t>
  </si>
  <si>
    <t>Enterprise NextGen Endpoint Detection &amp; Response Security 
(Anti-Virus, Anti-Malware, Anti-Ransomware, Patch Management)</t>
  </si>
  <si>
    <t>Acronis Cyber Protect Cloud</t>
  </si>
  <si>
    <t>Enterprise NextGen Firewall in High Availability</t>
  </si>
  <si>
    <t xml:space="preserve">Fortinet </t>
  </si>
  <si>
    <t>Managed SysAdmin Services</t>
  </si>
  <si>
    <t>24 x 7 Support</t>
  </si>
  <si>
    <t>Cloud Server Infra in India Cloud in Tier 4 DC with FREE SSL Certificate. 99.95% Uptime SLA</t>
  </si>
  <si>
    <t xml:space="preserve">Cloud Server Monthly Charges in </t>
  </si>
  <si>
    <t>Software Licenses  (under Subscription Licensing)</t>
  </si>
  <si>
    <t>Unit</t>
  </si>
  <si>
    <t>Qty</t>
  </si>
  <si>
    <t>Rate</t>
  </si>
  <si>
    <t>Add : TSPlus Enterprise Plus Edition</t>
  </si>
  <si>
    <t>per user</t>
  </si>
  <si>
    <t>Add : TSPlus Enterprise Plus Edition (2FA + Ult Protection)</t>
  </si>
  <si>
    <t xml:space="preserve">Add : TSPlus Enterprise Edition Unlimited Users License </t>
  </si>
  <si>
    <t>per server</t>
  </si>
  <si>
    <t>Add : Block  Storage SSD with Backup</t>
  </si>
  <si>
    <t>per GB</t>
  </si>
  <si>
    <t>Add : XcellDrive File Cloud (per GB)</t>
  </si>
  <si>
    <t>Add : SQL Server 2019 - Web Edition (per 2 core)</t>
  </si>
  <si>
    <t>per 2 core</t>
  </si>
  <si>
    <t>Add : Microsoft Office 2019 Professional</t>
  </si>
  <si>
    <t>Add : SSL VPN Client (Fortinet)</t>
  </si>
  <si>
    <t xml:space="preserve">Add : Site-to-Site VPN Tunnel </t>
  </si>
  <si>
    <t>per tunnel</t>
  </si>
  <si>
    <t>Add :  Plesk Control Panel Web Pro Edition (30 domains)</t>
  </si>
  <si>
    <t>Add : Managed SysAdmin Gold Plan (OS + Web + Mail + Security)</t>
  </si>
  <si>
    <t xml:space="preserve">* Third Party Application Support &amp; Troubleshooting  Customer + Partner responsibility  ie WPS Office </t>
  </si>
  <si>
    <t xml:space="preserve">Monthly Billing  </t>
  </si>
  <si>
    <t>Cloud Server  Monthly Charges [Customer Price]</t>
  </si>
  <si>
    <t xml:space="preserve">Average Customer Price /per user /month [Monthly Subscription]          </t>
  </si>
  <si>
    <t>Cloud Server  Monthly Charges [Partner Price]</t>
  </si>
  <si>
    <t xml:space="preserve">Average Partner Price /per user /month [Monthly Subscription]          </t>
  </si>
  <si>
    <t>Cloud Server  Monthly Charges [Purchase Price]</t>
  </si>
  <si>
    <t xml:space="preserve">Average Purchase Price /per user /month [Monthly Subscription]          </t>
  </si>
  <si>
    <t>Quarterly Billing</t>
  </si>
  <si>
    <t>Cloud Server  Quarterly Charges [Customer Price]                             - What you Pay</t>
  </si>
  <si>
    <t>Average Customer Price /per user /month [Quarterly Subscription]        - What you Save 5%</t>
  </si>
  <si>
    <t>Cloud Server  Quarterly Charges [Partner Price]</t>
  </si>
  <si>
    <t xml:space="preserve">Average Customer Price /per user /month [Quarterly Subscription]          </t>
  </si>
  <si>
    <t>Cloud Server  Quarterly Charges [Purchase Price]</t>
  </si>
  <si>
    <t xml:space="preserve">Average Purchase Price /per user /month [Quarterly Subscription]          </t>
  </si>
  <si>
    <t>Semi-Annual Billing</t>
  </si>
  <si>
    <t>Cloud Server  Semi-Annual Charges [Customer Price]                        - What you Pay</t>
  </si>
  <si>
    <t>Average Customer Price /per user /month [Semi-Annual Subscription]  - What you Save 7.5%</t>
  </si>
  <si>
    <t>Cloud Server  Semi-Annual Charges [Partner Price]</t>
  </si>
  <si>
    <t xml:space="preserve">Average Customer Price /per user /month [Semi-Annual Subscription]          </t>
  </si>
  <si>
    <t>Cloud Server  Semi-Annual Charges [Purchase Price]</t>
  </si>
  <si>
    <t xml:space="preserve">Average Purchase Price /per user /month [Semi-Annually Subscription]          </t>
  </si>
  <si>
    <t xml:space="preserve">Annual Billing </t>
  </si>
  <si>
    <t>Cloud Server  Annual Charges [Customer Price]                                         - What you Save 10%</t>
  </si>
  <si>
    <t>Average Customer Price /per user /month [Annual Subscription]           - What you Save 10%</t>
  </si>
  <si>
    <t>Cloud Server  Annual Charges [Partner Price]</t>
  </si>
  <si>
    <t xml:space="preserve">Average Partner Price /per user /month [Annual Subscription]          </t>
  </si>
  <si>
    <t>Cloud Server Annual Charges [Purchase Price]</t>
  </si>
  <si>
    <t xml:space="preserve">Average Purchase Price /per user /month [Annually Subscription]          </t>
  </si>
  <si>
    <t>One Time Setup Charges</t>
  </si>
  <si>
    <t>FREE</t>
  </si>
  <si>
    <t>One Time Setup Charges $</t>
  </si>
  <si>
    <t>Terms &amp; Conditions :</t>
  </si>
  <si>
    <t xml:space="preserve">1. All prices above are exclusive of taxes,  </t>
  </si>
  <si>
    <t>2. Billing Details : Purchase Order to be favour of Shaurrya Tele Services.</t>
  </si>
  <si>
    <t xml:space="preserve">3. Payment Terms : : 100% Advance Payment (as per Billing Frequency) + One Time Setup Charges.  </t>
  </si>
  <si>
    <t>4. Quote is valid for 7 days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</si>
</sst>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₹&quot;\ #,##0"/>
    <numFmt numFmtId="165" formatCode="&quot;₹&quot;\ #,##0.00"/>
    <numFmt numFmtId="166" formatCode="0.0"/>
  </numFmts>
  <fonts count="3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4"/>
      <color theme="8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i/>
      <sz val="14"/>
      <color theme="1" tint="0.249977111117893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2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56">
    <xf numFmtId="0" fontId="0" fillId="0" borderId="0" xfId="0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0" borderId="0" xfId="0" applyFont="1"/>
    <xf numFmtId="0" fontId="3" fillId="2" borderId="11" xfId="0" applyFont="1" applyFill="1" applyBorder="1"/>
    <xf numFmtId="0" fontId="3" fillId="2" borderId="15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2" borderId="0" xfId="0" applyFont="1" applyFill="1" applyAlignment="1">
      <alignment horizontal="center"/>
    </xf>
    <xf numFmtId="0" fontId="6" fillId="2" borderId="33" xfId="0" applyFont="1" applyFill="1" applyBorder="1" applyAlignment="1">
      <alignment horizontal="left" vertical="center"/>
    </xf>
    <xf numFmtId="43" fontId="3" fillId="2" borderId="34" xfId="3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34" xfId="3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4" xfId="3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2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12" fillId="2" borderId="14" xfId="1" applyFont="1" applyFill="1" applyBorder="1" applyAlignment="1">
      <alignment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vertical="center"/>
    </xf>
    <xf numFmtId="0" fontId="12" fillId="2" borderId="16" xfId="1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13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22" xfId="2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9" fillId="0" borderId="47" xfId="2" applyFont="1" applyBorder="1" applyAlignment="1">
      <alignment horizontal="left" vertical="center"/>
    </xf>
    <xf numFmtId="0" fontId="14" fillId="0" borderId="7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25" xfId="2" applyFont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center" vertical="center" wrapText="1"/>
    </xf>
    <xf numFmtId="0" fontId="11" fillId="2" borderId="19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vertical="center" wrapText="1"/>
    </xf>
    <xf numFmtId="164" fontId="15" fillId="2" borderId="9" xfId="3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vertical="center"/>
    </xf>
    <xf numFmtId="164" fontId="17" fillId="2" borderId="10" xfId="0" applyNumberFormat="1" applyFont="1" applyFill="1" applyBorder="1" applyAlignment="1">
      <alignment horizontal="center" vertical="center"/>
    </xf>
    <xf numFmtId="1" fontId="18" fillId="5" borderId="9" xfId="3" applyNumberFormat="1" applyFont="1" applyFill="1" applyBorder="1" applyAlignment="1">
      <alignment horizontal="center" vertical="center"/>
    </xf>
    <xf numFmtId="0" fontId="18" fillId="5" borderId="9" xfId="3" applyNumberFormat="1" applyFont="1" applyFill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vertical="center"/>
    </xf>
    <xf numFmtId="164" fontId="17" fillId="2" borderId="19" xfId="0" applyNumberFormat="1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164" fontId="19" fillId="3" borderId="18" xfId="1" applyNumberFormat="1" applyFont="1" applyFill="1" applyBorder="1" applyAlignment="1">
      <alignment vertical="center"/>
    </xf>
    <xf numFmtId="164" fontId="19" fillId="3" borderId="19" xfId="1" applyNumberFormat="1" applyFont="1" applyFill="1" applyBorder="1" applyAlignment="1">
      <alignment horizontal="center" vertical="center"/>
    </xf>
    <xf numFmtId="0" fontId="19" fillId="3" borderId="19" xfId="1" applyFont="1" applyFill="1" applyBorder="1" applyAlignment="1">
      <alignment vertical="center"/>
    </xf>
    <xf numFmtId="0" fontId="19" fillId="3" borderId="10" xfId="1" applyFont="1" applyFill="1" applyBorder="1" applyAlignment="1">
      <alignment vertical="center"/>
    </xf>
    <xf numFmtId="164" fontId="15" fillId="2" borderId="9" xfId="1" applyNumberFormat="1" applyFont="1" applyFill="1" applyBorder="1" applyAlignment="1">
      <alignment vertical="center"/>
    </xf>
    <xf numFmtId="164" fontId="15" fillId="2" borderId="9" xfId="1" applyNumberFormat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1" fontId="15" fillId="2" borderId="9" xfId="1" applyNumberFormat="1" applyFont="1" applyFill="1" applyBorder="1" applyAlignment="1">
      <alignment horizontal="center" vertical="center"/>
    </xf>
    <xf numFmtId="1" fontId="20" fillId="2" borderId="9" xfId="3" applyNumberFormat="1" applyFont="1" applyFill="1" applyBorder="1" applyAlignment="1">
      <alignment horizontal="center" vertical="center"/>
    </xf>
    <xf numFmtId="0" fontId="7" fillId="2" borderId="26" xfId="1" applyFont="1" applyFill="1" applyBorder="1"/>
    <xf numFmtId="164" fontId="15" fillId="2" borderId="45" xfId="1" applyNumberFormat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1" fontId="20" fillId="2" borderId="3" xfId="3" applyNumberFormat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/>
    </xf>
    <xf numFmtId="164" fontId="7" fillId="5" borderId="41" xfId="0" applyNumberFormat="1" applyFont="1" applyFill="1" applyBorder="1" applyAlignment="1">
      <alignment horizontal="left" vertical="center"/>
    </xf>
    <xf numFmtId="164" fontId="7" fillId="5" borderId="41" xfId="0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left" vertical="center"/>
    </xf>
    <xf numFmtId="1" fontId="9" fillId="5" borderId="3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164" fontId="10" fillId="5" borderId="3" xfId="0" applyNumberFormat="1" applyFont="1" applyFill="1" applyBorder="1" applyAlignment="1">
      <alignment vertical="center"/>
    </xf>
    <xf numFmtId="164" fontId="10" fillId="5" borderId="3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left" vertical="center"/>
    </xf>
    <xf numFmtId="1" fontId="18" fillId="5" borderId="42" xfId="3" applyNumberFormat="1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left" vertical="center"/>
    </xf>
    <xf numFmtId="1" fontId="9" fillId="5" borderId="9" xfId="3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" fontId="21" fillId="5" borderId="9" xfId="3" applyNumberFormat="1" applyFont="1" applyFill="1" applyBorder="1" applyAlignment="1">
      <alignment horizontal="center" vertical="center"/>
    </xf>
    <xf numFmtId="0" fontId="4" fillId="4" borderId="26" xfId="1" applyFont="1" applyFill="1" applyBorder="1"/>
    <xf numFmtId="0" fontId="4" fillId="4" borderId="45" xfId="1" applyFont="1" applyFill="1" applyBorder="1" applyAlignment="1">
      <alignment horizontal="center"/>
    </xf>
    <xf numFmtId="0" fontId="4" fillId="4" borderId="3" xfId="1" applyFont="1" applyFill="1" applyBorder="1"/>
    <xf numFmtId="0" fontId="4" fillId="4" borderId="27" xfId="1" applyFont="1" applyFill="1" applyBorder="1"/>
    <xf numFmtId="0" fontId="7" fillId="2" borderId="3" xfId="1" applyFont="1" applyFill="1" applyBorder="1"/>
    <xf numFmtId="0" fontId="7" fillId="2" borderId="27" xfId="1" applyFont="1" applyFill="1" applyBorder="1"/>
    <xf numFmtId="165" fontId="7" fillId="2" borderId="3" xfId="1" applyNumberFormat="1" applyFont="1" applyFill="1" applyBorder="1"/>
    <xf numFmtId="0" fontId="7" fillId="2" borderId="28" xfId="1" applyFont="1" applyFill="1" applyBorder="1"/>
    <xf numFmtId="0" fontId="7" fillId="2" borderId="46" xfId="1" applyFont="1" applyFill="1" applyBorder="1" applyAlignment="1">
      <alignment horizontal="center"/>
    </xf>
    <xf numFmtId="0" fontId="7" fillId="2" borderId="29" xfId="1" applyFont="1" applyFill="1" applyBorder="1"/>
    <xf numFmtId="0" fontId="7" fillId="2" borderId="30" xfId="1" applyFont="1" applyFill="1" applyBorder="1"/>
    <xf numFmtId="0" fontId="3" fillId="0" borderId="0" xfId="0" applyFont="1" applyAlignment="1">
      <alignment horizontal="center"/>
    </xf>
    <xf numFmtId="1" fontId="10" fillId="5" borderId="9" xfId="3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1" fillId="2" borderId="10" xfId="2" applyFont="1" applyFill="1" applyBorder="1" applyAlignment="1">
      <alignment horizontal="left" vertical="center"/>
    </xf>
    <xf numFmtId="0" fontId="11" fillId="2" borderId="18" xfId="2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0" fontId="7" fillId="2" borderId="9" xfId="0" applyFont="1" applyFill="1" applyBorder="1"/>
    <xf numFmtId="0" fontId="4" fillId="3" borderId="15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43" xfId="0" applyFont="1" applyFill="1" applyBorder="1" applyAlignment="1">
      <alignment vertical="center"/>
    </xf>
    <xf numFmtId="0" fontId="4" fillId="3" borderId="38" xfId="0" applyFont="1" applyFill="1" applyBorder="1" applyAlignment="1">
      <alignment vertical="center"/>
    </xf>
    <xf numFmtId="0" fontId="11" fillId="2" borderId="18" xfId="2" applyFont="1" applyFill="1" applyBorder="1" applyAlignment="1">
      <alignment vertical="center" wrapText="1"/>
    </xf>
    <xf numFmtId="0" fontId="11" fillId="2" borderId="19" xfId="2" applyFont="1" applyFill="1" applyBorder="1" applyAlignment="1">
      <alignment vertical="center"/>
    </xf>
    <xf numFmtId="0" fontId="11" fillId="2" borderId="10" xfId="2" applyFont="1" applyFill="1" applyBorder="1" applyAlignment="1">
      <alignment vertical="center"/>
    </xf>
    <xf numFmtId="0" fontId="11" fillId="2" borderId="18" xfId="2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9" fillId="0" borderId="39" xfId="2" applyFont="1" applyBorder="1" applyAlignment="1">
      <alignment vertical="center"/>
    </xf>
    <xf numFmtId="0" fontId="9" fillId="0" borderId="44" xfId="2" applyFont="1" applyBorder="1" applyAlignment="1">
      <alignment vertical="center"/>
    </xf>
    <xf numFmtId="0" fontId="9" fillId="0" borderId="40" xfId="2" applyFont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7" fillId="2" borderId="9" xfId="1" applyFont="1" applyFill="1" applyBorder="1" applyAlignment="1">
      <alignment horizontal="center" vertical="center"/>
    </xf>
    <xf numFmtId="164" fontId="27" fillId="2" borderId="9" xfId="1" applyNumberFormat="1" applyFont="1" applyFill="1" applyBorder="1" applyAlignment="1">
      <alignment vertical="center"/>
    </xf>
    <xf numFmtId="164" fontId="27" fillId="2" borderId="9" xfId="1" applyNumberFormat="1" applyFont="1" applyFill="1" applyBorder="1" applyAlignment="1">
      <alignment horizontal="center" vertical="center"/>
    </xf>
    <xf numFmtId="0" fontId="30" fillId="0" borderId="0" xfId="0" applyFont="1"/>
    <xf numFmtId="0" fontId="31" fillId="2" borderId="9" xfId="0" applyFont="1" applyFill="1" applyBorder="1" applyAlignment="1">
      <alignment vertical="center"/>
    </xf>
    <xf numFmtId="166" fontId="15" fillId="2" borderId="9" xfId="1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 wrapText="1"/>
    </xf>
    <xf numFmtId="0" fontId="7" fillId="2" borderId="20" xfId="1" applyFont="1" applyFill="1" applyBorder="1"/>
    <xf numFmtId="164" fontId="15" fillId="2" borderId="0" xfId="1" applyNumberFormat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1" fontId="20" fillId="2" borderId="0" xfId="3" applyNumberFormat="1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vertical="center"/>
    </xf>
    <xf numFmtId="164" fontId="27" fillId="5" borderId="3" xfId="0" applyNumberFormat="1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164" fontId="10" fillId="5" borderId="48" xfId="0" applyNumberFormat="1" applyFont="1" applyFill="1" applyBorder="1" applyAlignment="1">
      <alignment horizontal="left" vertical="center"/>
    </xf>
    <xf numFmtId="164" fontId="10" fillId="5" borderId="48" xfId="0" applyNumberFormat="1" applyFont="1" applyFill="1" applyBorder="1" applyAlignment="1">
      <alignment horizontal="center" vertical="center"/>
    </xf>
    <xf numFmtId="164" fontId="7" fillId="5" borderId="48" xfId="0" applyNumberFormat="1" applyFont="1" applyFill="1" applyBorder="1" applyAlignment="1">
      <alignment horizontal="left" vertical="center"/>
    </xf>
    <xf numFmtId="1" fontId="10" fillId="5" borderId="48" xfId="0" applyNumberFormat="1" applyFont="1" applyFill="1" applyBorder="1" applyAlignment="1">
      <alignment horizontal="center" vertical="center"/>
    </xf>
    <xf numFmtId="1" fontId="21" fillId="5" borderId="11" xfId="3" applyNumberFormat="1" applyFont="1" applyFill="1" applyBorder="1" applyAlignment="1">
      <alignment horizontal="center" vertical="center"/>
    </xf>
    <xf numFmtId="1" fontId="21" fillId="5" borderId="3" xfId="3" applyNumberFormat="1" applyFont="1" applyFill="1" applyBorder="1" applyAlignment="1">
      <alignment horizontal="center" vertical="center"/>
    </xf>
    <xf numFmtId="1" fontId="27" fillId="5" borderId="3" xfId="0" applyNumberFormat="1" applyFont="1" applyFill="1" applyBorder="1" applyAlignment="1">
      <alignment horizontal="center" vertical="center"/>
    </xf>
    <xf numFmtId="0" fontId="33" fillId="2" borderId="35" xfId="0" applyFont="1" applyFill="1" applyBorder="1" applyAlignment="1">
      <alignment horizontal="left" vertical="center"/>
    </xf>
    <xf numFmtId="0" fontId="33" fillId="7" borderId="36" xfId="3" applyNumberFormat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1"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179295</xdr:colOff>
      <xdr:row>1</xdr:row>
      <xdr:rowOff>71719</xdr:rowOff>
    </xdr:from>
    <xdr:to>
      <xdr:col>0</xdr:col>
      <xdr:colOff>3424518</xdr:colOff>
      <xdr:row>5</xdr:row>
      <xdr:rowOff>1435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A2650-86FD-15B6-484C-AE98A5BDC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5" y="304801"/>
          <a:ext cx="3245223" cy="895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29" zoomScale="65" zoomScaleNormal="85" zoomScaleSheetLayoutView="70" workbookViewId="0">
      <selection activeCell="A37" sqref="A37"/>
    </sheetView>
  </sheetViews>
  <sheetFormatPr defaultColWidth="8.5703125" defaultRowHeight="18"/>
  <cols>
    <col min="1" max="1" width="132.28515625" style="3" customWidth="1"/>
    <col min="2" max="2" width="14.42578125" style="97" customWidth="1"/>
    <col min="3" max="3" width="20.28515625" style="97" customWidth="1"/>
    <col min="4" max="4" width="26" style="97" customWidth="1"/>
    <col min="5" max="5" width="19.28515625" style="97" customWidth="1"/>
    <col min="6" max="7" width="17.28515625" style="97" customWidth="1"/>
    <col min="8" max="8" width="17.5703125" style="3" customWidth="1"/>
    <col min="9" max="9" width="19.140625" style="3" customWidth="1"/>
    <col min="10" max="10" width="17" style="3" customWidth="1"/>
    <col min="11" max="11" width="18.140625" style="3" customWidth="1"/>
    <col min="12" max="12" width="18.28515625" style="3" customWidth="1"/>
    <col min="13" max="13" width="36.5703125" style="3" bestFit="1" customWidth="1"/>
    <col min="14" max="14" width="8.85546875" style="3" customWidth="1"/>
    <col min="15" max="15" width="36.5703125" style="3" bestFit="1" customWidth="1"/>
    <col min="16" max="19" width="8.5703125" style="3"/>
    <col min="20" max="20" width="25.42578125" style="3" customWidth="1"/>
    <col min="21" max="21" width="25.28515625" style="3" customWidth="1"/>
    <col min="22" max="22" width="18.5703125" style="3" customWidth="1"/>
    <col min="23" max="23" width="24.42578125" style="3" customWidth="1"/>
    <col min="24" max="16384" width="8.5703125" style="3"/>
  </cols>
  <sheetData>
    <row r="1" spans="1:1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22.35" customHeight="1">
      <c r="A2" s="4"/>
      <c r="B2" s="5"/>
      <c r="C2" s="111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6" t="s">
        <v>1</v>
      </c>
      <c r="N2" s="7"/>
    </row>
    <row r="3" spans="1:16" ht="15" customHeight="1">
      <c r="A3" s="8"/>
      <c r="B3" s="9"/>
      <c r="C3" s="17"/>
      <c r="D3" s="17"/>
      <c r="E3" s="17"/>
      <c r="F3" s="17"/>
      <c r="G3" s="17"/>
      <c r="H3" s="17"/>
      <c r="I3" s="17"/>
      <c r="J3" s="17"/>
      <c r="K3" s="17"/>
      <c r="L3" s="17"/>
      <c r="M3" s="10" t="s">
        <v>2</v>
      </c>
      <c r="N3" s="11" t="s">
        <v>3</v>
      </c>
    </row>
    <row r="4" spans="1:16" ht="18.600000000000001" customHeight="1">
      <c r="A4" s="8"/>
      <c r="B4" s="12"/>
      <c r="C4" s="110" t="s">
        <v>4</v>
      </c>
      <c r="D4" s="110"/>
      <c r="E4" s="110"/>
      <c r="F4" s="110"/>
      <c r="G4" s="110"/>
      <c r="H4" s="110"/>
      <c r="I4" s="110"/>
      <c r="J4" s="110"/>
      <c r="K4" s="110"/>
      <c r="L4" s="109"/>
      <c r="M4" s="10" t="s">
        <v>5</v>
      </c>
      <c r="N4" s="11" t="s">
        <v>6</v>
      </c>
    </row>
    <row r="5" spans="1:16" ht="21.6" customHeight="1">
      <c r="A5" s="8"/>
      <c r="B5" s="12"/>
      <c r="C5" s="110" t="s">
        <v>7</v>
      </c>
      <c r="D5" s="110"/>
      <c r="E5" s="110"/>
      <c r="F5" s="110"/>
      <c r="G5" s="110"/>
      <c r="H5" s="110"/>
      <c r="I5" s="110"/>
      <c r="J5" s="110"/>
      <c r="K5" s="110"/>
      <c r="L5" s="109"/>
      <c r="M5" s="10" t="s">
        <v>8</v>
      </c>
      <c r="N5" s="13">
        <v>90</v>
      </c>
    </row>
    <row r="6" spans="1:16" ht="18" customHeight="1">
      <c r="A6" s="8"/>
      <c r="B6" s="12"/>
      <c r="C6" s="112" t="s">
        <v>9</v>
      </c>
      <c r="D6" s="112"/>
      <c r="E6" s="112"/>
      <c r="F6" s="112"/>
      <c r="G6" s="112"/>
      <c r="H6" s="112"/>
      <c r="I6" s="112"/>
      <c r="J6" s="112"/>
      <c r="K6" s="112"/>
      <c r="L6" s="109"/>
      <c r="M6" s="14" t="s">
        <v>10</v>
      </c>
      <c r="N6" s="15">
        <v>18</v>
      </c>
      <c r="O6" s="154" t="s">
        <v>11</v>
      </c>
      <c r="P6" s="155">
        <v>20</v>
      </c>
    </row>
    <row r="7" spans="1:16" ht="15" customHeight="1">
      <c r="A7" s="8"/>
      <c r="B7" s="12"/>
      <c r="C7" s="137"/>
      <c r="D7" s="137"/>
      <c r="E7" s="137"/>
      <c r="F7" s="112"/>
      <c r="G7" s="112"/>
      <c r="H7" s="112"/>
      <c r="I7" s="112"/>
      <c r="J7" s="112"/>
      <c r="K7" s="112"/>
      <c r="L7" s="109"/>
    </row>
    <row r="8" spans="1:16" ht="28.5" customHeight="1">
      <c r="A8" s="16" t="s">
        <v>12</v>
      </c>
      <c r="B8" s="103"/>
      <c r="C8" s="17"/>
      <c r="D8" s="17"/>
      <c r="E8" s="17"/>
      <c r="F8" s="17"/>
      <c r="G8" s="17"/>
      <c r="H8" s="17"/>
      <c r="I8" s="17"/>
      <c r="J8" s="128"/>
      <c r="K8" s="128"/>
      <c r="L8" s="18"/>
    </row>
    <row r="9" spans="1:16">
      <c r="A9" s="19" t="s">
        <v>13</v>
      </c>
      <c r="B9" s="20"/>
      <c r="C9" s="122" t="s">
        <v>14</v>
      </c>
      <c r="D9" s="123"/>
      <c r="E9" s="123"/>
      <c r="F9" s="123"/>
      <c r="G9" s="123"/>
      <c r="H9" s="123"/>
      <c r="I9" s="124"/>
      <c r="J9" s="129" t="s">
        <v>15</v>
      </c>
      <c r="K9" s="130"/>
      <c r="L9" s="131"/>
    </row>
    <row r="10" spans="1:16">
      <c r="A10" s="139" t="s">
        <v>16</v>
      </c>
      <c r="B10" s="20"/>
      <c r="C10" s="122" t="s">
        <v>17</v>
      </c>
      <c r="D10" s="123"/>
      <c r="E10" s="123"/>
      <c r="F10" s="123"/>
      <c r="G10" s="123"/>
      <c r="H10" s="123"/>
      <c r="I10" s="124"/>
      <c r="J10" s="129" t="s">
        <v>18</v>
      </c>
      <c r="K10" s="130"/>
      <c r="L10" s="131"/>
    </row>
    <row r="11" spans="1:16">
      <c r="A11" s="21" t="s">
        <v>19</v>
      </c>
      <c r="B11" s="20"/>
      <c r="C11" s="122" t="s">
        <v>20</v>
      </c>
      <c r="D11" s="123"/>
      <c r="E11" s="123"/>
      <c r="F11" s="123"/>
      <c r="G11" s="123"/>
      <c r="H11" s="123"/>
      <c r="I11" s="124"/>
      <c r="J11" s="106" t="s">
        <v>21</v>
      </c>
      <c r="K11" s="107"/>
      <c r="L11" s="108"/>
    </row>
    <row r="12" spans="1:16">
      <c r="A12" s="21" t="s">
        <v>22</v>
      </c>
      <c r="B12" s="20"/>
      <c r="C12" s="122" t="s">
        <v>23</v>
      </c>
      <c r="D12" s="123"/>
      <c r="E12" s="123"/>
      <c r="F12" s="123"/>
      <c r="G12" s="123"/>
      <c r="H12" s="123"/>
      <c r="I12" s="124"/>
      <c r="J12" s="106" t="s">
        <v>24</v>
      </c>
      <c r="K12" s="107"/>
      <c r="L12" s="108"/>
    </row>
    <row r="13" spans="1:16" hidden="1">
      <c r="A13" s="21" t="s">
        <v>25</v>
      </c>
      <c r="B13" s="20"/>
      <c r="C13" s="122" t="s">
        <v>25</v>
      </c>
      <c r="D13" s="123"/>
      <c r="E13" s="123"/>
      <c r="F13" s="123"/>
      <c r="G13" s="123"/>
      <c r="H13" s="123"/>
      <c r="I13" s="124"/>
      <c r="J13" s="106" t="s">
        <v>26</v>
      </c>
      <c r="K13" s="107"/>
      <c r="L13" s="108"/>
    </row>
    <row r="14" spans="1:16" ht="28.5" customHeight="1">
      <c r="A14" s="22" t="s">
        <v>27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6" ht="73.5" customHeight="1">
      <c r="A15" s="113" t="s">
        <v>28</v>
      </c>
      <c r="B15" s="111"/>
      <c r="C15" s="114"/>
      <c r="D15" s="26"/>
      <c r="E15" s="27" t="s">
        <v>29</v>
      </c>
      <c r="F15" s="27" t="s">
        <v>30</v>
      </c>
      <c r="G15" s="27" t="s">
        <v>31</v>
      </c>
      <c r="H15" s="28" t="s">
        <v>32</v>
      </c>
      <c r="I15" s="28" t="s">
        <v>33</v>
      </c>
      <c r="J15" s="28" t="s">
        <v>34</v>
      </c>
      <c r="K15" s="29" t="s">
        <v>35</v>
      </c>
      <c r="L15" s="30" t="s">
        <v>36</v>
      </c>
      <c r="M15" s="30" t="s">
        <v>36</v>
      </c>
    </row>
    <row r="16" spans="1:16" ht="57" customHeight="1" thickBot="1">
      <c r="A16" s="115"/>
      <c r="B16" s="116"/>
      <c r="C16" s="117"/>
      <c r="D16" s="26"/>
      <c r="E16" s="31" t="s">
        <v>37</v>
      </c>
      <c r="F16" s="31" t="s">
        <v>38</v>
      </c>
      <c r="G16" s="32" t="s">
        <v>39</v>
      </c>
      <c r="H16" s="32" t="s">
        <v>40</v>
      </c>
      <c r="I16" s="32" t="s">
        <v>41</v>
      </c>
      <c r="J16" s="32" t="s">
        <v>42</v>
      </c>
      <c r="K16" s="33" t="s">
        <v>43</v>
      </c>
      <c r="L16" s="34" t="s">
        <v>44</v>
      </c>
      <c r="M16" s="34" t="s">
        <v>45</v>
      </c>
    </row>
    <row r="17" spans="1:23">
      <c r="A17" s="125" t="s">
        <v>46</v>
      </c>
      <c r="B17" s="126"/>
      <c r="C17" s="127"/>
      <c r="D17" s="35"/>
      <c r="E17" s="36" t="s">
        <v>47</v>
      </c>
      <c r="F17" s="36" t="s">
        <v>48</v>
      </c>
      <c r="G17" s="36" t="s">
        <v>49</v>
      </c>
      <c r="H17" s="36" t="s">
        <v>50</v>
      </c>
      <c r="I17" s="36" t="s">
        <v>51</v>
      </c>
      <c r="J17" s="36" t="s">
        <v>52</v>
      </c>
      <c r="K17" s="37" t="s">
        <v>53</v>
      </c>
      <c r="L17" s="38" t="s">
        <v>54</v>
      </c>
      <c r="M17" s="38" t="s">
        <v>54</v>
      </c>
    </row>
    <row r="18" spans="1:23">
      <c r="A18" s="121" t="s">
        <v>55</v>
      </c>
      <c r="B18" s="119"/>
      <c r="C18" s="120"/>
      <c r="D18" s="104"/>
      <c r="E18" s="39" t="s">
        <v>56</v>
      </c>
      <c r="F18" s="39" t="s">
        <v>57</v>
      </c>
      <c r="G18" s="39" t="s">
        <v>58</v>
      </c>
      <c r="H18" s="39" t="s">
        <v>59</v>
      </c>
      <c r="I18" s="39" t="s">
        <v>60</v>
      </c>
      <c r="J18" s="39" t="s">
        <v>61</v>
      </c>
      <c r="K18" s="39" t="s">
        <v>62</v>
      </c>
      <c r="L18" s="39" t="s">
        <v>63</v>
      </c>
      <c r="M18" s="39" t="s">
        <v>63</v>
      </c>
    </row>
    <row r="19" spans="1:23">
      <c r="A19" s="121" t="s">
        <v>64</v>
      </c>
      <c r="B19" s="119"/>
      <c r="C19" s="120"/>
      <c r="D19" s="104"/>
      <c r="E19" s="39" t="s">
        <v>65</v>
      </c>
      <c r="F19" s="39" t="s">
        <v>66</v>
      </c>
      <c r="G19" s="39" t="s">
        <v>67</v>
      </c>
      <c r="H19" s="39" t="s">
        <v>68</v>
      </c>
      <c r="I19" s="39" t="s">
        <v>69</v>
      </c>
      <c r="J19" s="39" t="s">
        <v>70</v>
      </c>
      <c r="K19" s="39" t="s">
        <v>71</v>
      </c>
      <c r="L19" s="39" t="s">
        <v>71</v>
      </c>
      <c r="M19" s="39" t="s">
        <v>72</v>
      </c>
    </row>
    <row r="20" spans="1:23">
      <c r="A20" s="121" t="s">
        <v>73</v>
      </c>
      <c r="B20" s="119"/>
      <c r="C20" s="120"/>
      <c r="D20" s="104"/>
      <c r="E20" s="39" t="s">
        <v>65</v>
      </c>
      <c r="F20" s="39" t="s">
        <v>74</v>
      </c>
      <c r="G20" s="39" t="s">
        <v>75</v>
      </c>
      <c r="H20" s="39" t="s">
        <v>76</v>
      </c>
      <c r="I20" s="39" t="s">
        <v>77</v>
      </c>
      <c r="J20" s="39" t="s">
        <v>78</v>
      </c>
      <c r="K20" s="39" t="s">
        <v>79</v>
      </c>
      <c r="L20" s="39" t="s">
        <v>80</v>
      </c>
      <c r="M20" s="39" t="s">
        <v>81</v>
      </c>
    </row>
    <row r="21" spans="1:23">
      <c r="A21" s="121" t="s">
        <v>82</v>
      </c>
      <c r="B21" s="119"/>
      <c r="C21" s="120"/>
      <c r="D21" s="104"/>
      <c r="E21" s="39" t="s">
        <v>83</v>
      </c>
      <c r="F21" s="39" t="s">
        <v>83</v>
      </c>
      <c r="G21" s="39" t="s">
        <v>83</v>
      </c>
      <c r="H21" s="39" t="s">
        <v>83</v>
      </c>
      <c r="I21" s="39" t="s">
        <v>83</v>
      </c>
      <c r="J21" s="39" t="s">
        <v>83</v>
      </c>
      <c r="K21" s="39" t="s">
        <v>83</v>
      </c>
      <c r="L21" s="39" t="s">
        <v>83</v>
      </c>
      <c r="M21" s="39" t="s">
        <v>83</v>
      </c>
    </row>
    <row r="22" spans="1:23">
      <c r="A22" s="121" t="s">
        <v>84</v>
      </c>
      <c r="B22" s="119"/>
      <c r="C22" s="120"/>
      <c r="D22" s="104"/>
      <c r="E22" s="39" t="s">
        <v>85</v>
      </c>
      <c r="F22" s="39" t="s">
        <v>85</v>
      </c>
      <c r="G22" s="39" t="s">
        <v>85</v>
      </c>
      <c r="H22" s="39" t="s">
        <v>85</v>
      </c>
      <c r="I22" s="39" t="s">
        <v>85</v>
      </c>
      <c r="J22" s="39" t="s">
        <v>85</v>
      </c>
      <c r="K22" s="39" t="s">
        <v>85</v>
      </c>
      <c r="L22" s="39" t="s">
        <v>85</v>
      </c>
      <c r="M22" s="39" t="s">
        <v>85</v>
      </c>
    </row>
    <row r="23" spans="1:23">
      <c r="A23" s="121" t="s">
        <v>86</v>
      </c>
      <c r="B23" s="119"/>
      <c r="C23" s="120"/>
      <c r="D23" s="104"/>
      <c r="E23" s="39">
        <v>1</v>
      </c>
      <c r="F23" s="39">
        <v>1</v>
      </c>
      <c r="G23" s="39">
        <v>1</v>
      </c>
      <c r="H23" s="39">
        <v>1</v>
      </c>
      <c r="I23" s="39">
        <v>1</v>
      </c>
      <c r="J23" s="39">
        <v>1</v>
      </c>
      <c r="K23" s="39">
        <v>1</v>
      </c>
      <c r="L23" s="39">
        <v>1</v>
      </c>
      <c r="M23" s="39">
        <v>1</v>
      </c>
    </row>
    <row r="24" spans="1:23">
      <c r="A24" s="121" t="s">
        <v>87</v>
      </c>
      <c r="B24" s="119"/>
      <c r="C24" s="120"/>
      <c r="D24" s="104"/>
      <c r="E24" s="40" t="s">
        <v>88</v>
      </c>
      <c r="F24" s="40" t="s">
        <v>88</v>
      </c>
      <c r="G24" s="40" t="s">
        <v>88</v>
      </c>
      <c r="H24" s="40" t="s">
        <v>88</v>
      </c>
      <c r="I24" s="40" t="s">
        <v>88</v>
      </c>
      <c r="J24" s="40" t="s">
        <v>88</v>
      </c>
      <c r="K24" s="40" t="s">
        <v>88</v>
      </c>
      <c r="L24" s="40" t="s">
        <v>88</v>
      </c>
      <c r="M24" s="40" t="s">
        <v>88</v>
      </c>
    </row>
    <row r="25" spans="1:23" ht="36" hidden="1">
      <c r="A25" s="121" t="s">
        <v>89</v>
      </c>
      <c r="B25" s="119"/>
      <c r="C25" s="120"/>
      <c r="D25" s="104"/>
      <c r="E25" s="40" t="s">
        <v>90</v>
      </c>
      <c r="F25" s="40" t="s">
        <v>90</v>
      </c>
      <c r="G25" s="40" t="s">
        <v>90</v>
      </c>
      <c r="H25" s="40" t="s">
        <v>90</v>
      </c>
      <c r="I25" s="40" t="s">
        <v>90</v>
      </c>
      <c r="J25" s="40" t="s">
        <v>90</v>
      </c>
      <c r="K25" s="40" t="s">
        <v>90</v>
      </c>
      <c r="L25" s="40" t="s">
        <v>90</v>
      </c>
      <c r="M25" s="40" t="s">
        <v>90</v>
      </c>
    </row>
    <row r="26" spans="1:23" ht="36">
      <c r="A26" s="118" t="s">
        <v>91</v>
      </c>
      <c r="B26" s="119"/>
      <c r="C26" s="120"/>
      <c r="D26" s="104"/>
      <c r="E26" s="40" t="s">
        <v>92</v>
      </c>
      <c r="F26" s="40" t="s">
        <v>92</v>
      </c>
      <c r="G26" s="40" t="s">
        <v>92</v>
      </c>
      <c r="H26" s="40" t="s">
        <v>92</v>
      </c>
      <c r="I26" s="40" t="s">
        <v>92</v>
      </c>
      <c r="J26" s="40" t="s">
        <v>92</v>
      </c>
      <c r="K26" s="40" t="s">
        <v>92</v>
      </c>
      <c r="L26" s="40" t="s">
        <v>92</v>
      </c>
      <c r="M26" s="40" t="s">
        <v>92</v>
      </c>
    </row>
    <row r="27" spans="1:23">
      <c r="A27" s="105" t="s">
        <v>93</v>
      </c>
      <c r="B27" s="41"/>
      <c r="C27" s="104"/>
      <c r="D27" s="104"/>
      <c r="E27" s="40" t="s">
        <v>94</v>
      </c>
      <c r="F27" s="40" t="s">
        <v>94</v>
      </c>
      <c r="G27" s="40" t="s">
        <v>94</v>
      </c>
      <c r="H27" s="40" t="s">
        <v>94</v>
      </c>
      <c r="I27" s="40" t="s">
        <v>94</v>
      </c>
      <c r="J27" s="40" t="s">
        <v>94</v>
      </c>
      <c r="K27" s="40" t="s">
        <v>94</v>
      </c>
      <c r="L27" s="40" t="s">
        <v>94</v>
      </c>
      <c r="M27" s="40" t="s">
        <v>94</v>
      </c>
    </row>
    <row r="28" spans="1:23">
      <c r="A28" s="121" t="s">
        <v>95</v>
      </c>
      <c r="B28" s="119"/>
      <c r="C28" s="120"/>
      <c r="D28" s="104"/>
      <c r="E28" s="40" t="s">
        <v>96</v>
      </c>
      <c r="F28" s="40" t="s">
        <v>96</v>
      </c>
      <c r="G28" s="40" t="s">
        <v>96</v>
      </c>
      <c r="H28" s="40" t="s">
        <v>96</v>
      </c>
      <c r="I28" s="40" t="s">
        <v>96</v>
      </c>
      <c r="J28" s="40" t="s">
        <v>96</v>
      </c>
      <c r="K28" s="40" t="s">
        <v>96</v>
      </c>
      <c r="L28" s="40" t="s">
        <v>96</v>
      </c>
      <c r="M28" s="40" t="s">
        <v>96</v>
      </c>
    </row>
    <row r="29" spans="1:23">
      <c r="A29" s="121" t="s">
        <v>97</v>
      </c>
      <c r="B29" s="119"/>
      <c r="C29" s="120"/>
      <c r="D29" s="104"/>
      <c r="E29" s="42"/>
      <c r="F29" s="42"/>
      <c r="G29" s="42"/>
      <c r="H29" s="42"/>
      <c r="I29" s="42"/>
      <c r="J29" s="42"/>
      <c r="K29" s="42"/>
      <c r="L29" s="43"/>
      <c r="M29" s="43"/>
    </row>
    <row r="30" spans="1:23">
      <c r="A30" s="44" t="s">
        <v>98</v>
      </c>
      <c r="B30" s="45"/>
      <c r="C30" s="46"/>
      <c r="D30" s="47" t="str">
        <f>N4</f>
        <v>INR</v>
      </c>
      <c r="E30" s="48">
        <f>(7.8+(0.06*100))*N5</f>
        <v>1242</v>
      </c>
      <c r="F30" s="48">
        <f>(22.5+(0.06*100))*N5</f>
        <v>2565</v>
      </c>
      <c r="G30" s="48">
        <f>(26+(0.06*125))*N5</f>
        <v>3015</v>
      </c>
      <c r="H30" s="48">
        <f>(46+(0.06*150))*N5</f>
        <v>4950</v>
      </c>
      <c r="I30" s="48">
        <f>(92+(0.06*200))*N5</f>
        <v>9360</v>
      </c>
      <c r="J30" s="48">
        <f>(175+(0.06*300))*N5</f>
        <v>17370</v>
      </c>
      <c r="K30" s="49">
        <f>(275+(0.06*300))*N5</f>
        <v>26370</v>
      </c>
      <c r="L30" s="48">
        <f>(345+(0.06*400))*N5</f>
        <v>33210</v>
      </c>
      <c r="M30" s="48">
        <f>(675+(0.06*100))*N5</f>
        <v>61290</v>
      </c>
    </row>
    <row r="31" spans="1:23">
      <c r="A31" s="50"/>
      <c r="B31" s="51"/>
      <c r="C31" s="52"/>
      <c r="D31" s="53"/>
      <c r="E31" s="53"/>
      <c r="F31" s="53"/>
      <c r="G31" s="53"/>
      <c r="H31" s="53"/>
      <c r="I31" s="53"/>
      <c r="J31" s="53"/>
      <c r="K31" s="53"/>
      <c r="L31" s="53"/>
      <c r="M31" s="53"/>
      <c r="T31" s="99"/>
      <c r="U31" s="100"/>
      <c r="V31" s="100"/>
      <c r="W31" s="99"/>
    </row>
    <row r="32" spans="1:23" ht="20.25" customHeight="1">
      <c r="A32" s="54" t="s">
        <v>99</v>
      </c>
      <c r="B32" s="55" t="s">
        <v>100</v>
      </c>
      <c r="C32" s="55" t="s">
        <v>101</v>
      </c>
      <c r="D32" s="55" t="s">
        <v>102</v>
      </c>
      <c r="E32" s="56"/>
      <c r="F32" s="56"/>
      <c r="G32" s="56"/>
      <c r="H32" s="56"/>
      <c r="I32" s="56"/>
      <c r="J32" s="56"/>
      <c r="K32" s="56"/>
      <c r="L32" s="57"/>
      <c r="M32" s="57"/>
      <c r="T32" s="101"/>
      <c r="U32" s="132"/>
      <c r="V32" s="99"/>
      <c r="W32" s="99"/>
    </row>
    <row r="33" spans="1:23" ht="49.35" customHeight="1">
      <c r="A33" s="134" t="s">
        <v>103</v>
      </c>
      <c r="B33" s="135" t="s">
        <v>104</v>
      </c>
      <c r="C33" s="133">
        <v>50</v>
      </c>
      <c r="D33" s="61">
        <f>2*N5</f>
        <v>180</v>
      </c>
      <c r="E33" s="62">
        <f>$D$33*$C$33</f>
        <v>9000</v>
      </c>
      <c r="F33" s="62">
        <f t="shared" ref="F33:M33" si="0">$D$33*$C$33</f>
        <v>9000</v>
      </c>
      <c r="G33" s="62">
        <f t="shared" si="0"/>
        <v>9000</v>
      </c>
      <c r="H33" s="62">
        <f t="shared" si="0"/>
        <v>9000</v>
      </c>
      <c r="I33" s="62">
        <f t="shared" si="0"/>
        <v>9000</v>
      </c>
      <c r="J33" s="62">
        <f t="shared" si="0"/>
        <v>9000</v>
      </c>
      <c r="K33" s="62">
        <f t="shared" si="0"/>
        <v>9000</v>
      </c>
      <c r="L33" s="62">
        <f t="shared" si="0"/>
        <v>9000</v>
      </c>
      <c r="M33" s="62">
        <f t="shared" si="0"/>
        <v>9000</v>
      </c>
      <c r="T33" s="99"/>
      <c r="U33" s="132"/>
      <c r="V33" s="99"/>
      <c r="W33" s="99"/>
    </row>
    <row r="34" spans="1:23" ht="42" customHeight="1">
      <c r="A34" s="58" t="s">
        <v>105</v>
      </c>
      <c r="B34" s="59" t="s">
        <v>104</v>
      </c>
      <c r="C34" s="60">
        <v>0</v>
      </c>
      <c r="D34" s="61">
        <f>2*N5</f>
        <v>180</v>
      </c>
      <c r="E34" s="62">
        <f>$D$34*$C$34</f>
        <v>0</v>
      </c>
      <c r="F34" s="62">
        <f t="shared" ref="F34:M34" si="1">$D$34*$C$34</f>
        <v>0</v>
      </c>
      <c r="G34" s="62">
        <f t="shared" si="1"/>
        <v>0</v>
      </c>
      <c r="H34" s="62">
        <f t="shared" si="1"/>
        <v>0</v>
      </c>
      <c r="I34" s="62">
        <f t="shared" si="1"/>
        <v>0</v>
      </c>
      <c r="J34" s="62">
        <f t="shared" si="1"/>
        <v>0</v>
      </c>
      <c r="K34" s="62">
        <f t="shared" si="1"/>
        <v>0</v>
      </c>
      <c r="L34" s="62">
        <f t="shared" si="1"/>
        <v>0</v>
      </c>
      <c r="M34" s="62">
        <f t="shared" si="1"/>
        <v>0</v>
      </c>
      <c r="T34" s="99"/>
      <c r="U34" s="132"/>
      <c r="V34" s="99"/>
      <c r="W34" s="99"/>
    </row>
    <row r="35" spans="1:23" ht="46.15" customHeight="1">
      <c r="A35" s="58" t="s">
        <v>106</v>
      </c>
      <c r="B35" s="59" t="s">
        <v>107</v>
      </c>
      <c r="C35" s="60">
        <v>0</v>
      </c>
      <c r="D35" s="61">
        <f>120*N5</f>
        <v>10800</v>
      </c>
      <c r="E35" s="62" t="s">
        <v>47</v>
      </c>
      <c r="F35" s="62" t="s">
        <v>47</v>
      </c>
      <c r="G35" s="62" t="s">
        <v>47</v>
      </c>
      <c r="H35" s="62" t="s">
        <v>47</v>
      </c>
      <c r="I35" s="62" t="s">
        <v>47</v>
      </c>
      <c r="J35" s="62" t="s">
        <v>47</v>
      </c>
      <c r="K35" s="62" t="s">
        <v>47</v>
      </c>
      <c r="L35" s="62">
        <f>$D$35*$C$35</f>
        <v>0</v>
      </c>
      <c r="M35" s="62">
        <f>$D$35*$C$35</f>
        <v>0</v>
      </c>
      <c r="T35" s="102"/>
      <c r="U35" s="102"/>
      <c r="V35" s="102"/>
      <c r="W35" s="102"/>
    </row>
    <row r="36" spans="1:23" ht="27" customHeight="1">
      <c r="A36" s="58" t="s">
        <v>108</v>
      </c>
      <c r="B36" s="59" t="s">
        <v>109</v>
      </c>
      <c r="C36" s="60">
        <v>0</v>
      </c>
      <c r="D36" s="138">
        <f>0.07*N5</f>
        <v>6.3000000000000007</v>
      </c>
      <c r="E36" s="62">
        <f>$D$36*$C$36</f>
        <v>0</v>
      </c>
      <c r="F36" s="62">
        <f t="shared" ref="F36:M36" si="2">$D$36*$C$36</f>
        <v>0</v>
      </c>
      <c r="G36" s="62">
        <f t="shared" si="2"/>
        <v>0</v>
      </c>
      <c r="H36" s="62">
        <v>0</v>
      </c>
      <c r="I36" s="62">
        <f t="shared" si="2"/>
        <v>0</v>
      </c>
      <c r="J36" s="62">
        <f t="shared" si="2"/>
        <v>0</v>
      </c>
      <c r="K36" s="62">
        <f t="shared" si="2"/>
        <v>0</v>
      </c>
      <c r="L36" s="62">
        <f t="shared" si="2"/>
        <v>0</v>
      </c>
      <c r="M36" s="62">
        <f t="shared" si="2"/>
        <v>0</v>
      </c>
      <c r="T36" s="146"/>
      <c r="U36"/>
      <c r="V36"/>
      <c r="W36"/>
    </row>
    <row r="37" spans="1:23" ht="29.25" customHeight="1">
      <c r="A37" s="58" t="s">
        <v>110</v>
      </c>
      <c r="B37" s="59" t="s">
        <v>109</v>
      </c>
      <c r="C37" s="60">
        <v>0</v>
      </c>
      <c r="D37" s="61">
        <f>0.5*N6</f>
        <v>9</v>
      </c>
      <c r="E37" s="62">
        <f>$D$37*$C$37</f>
        <v>0</v>
      </c>
      <c r="F37" s="62">
        <f t="shared" ref="F37:M37" si="3">$D$37*$C$37</f>
        <v>0</v>
      </c>
      <c r="G37" s="62">
        <f t="shared" si="3"/>
        <v>0</v>
      </c>
      <c r="H37" s="62">
        <f t="shared" si="3"/>
        <v>0</v>
      </c>
      <c r="I37" s="62">
        <f t="shared" si="3"/>
        <v>0</v>
      </c>
      <c r="J37" s="62">
        <f t="shared" si="3"/>
        <v>0</v>
      </c>
      <c r="K37" s="62">
        <f t="shared" si="3"/>
        <v>0</v>
      </c>
      <c r="L37" s="62">
        <f t="shared" si="3"/>
        <v>0</v>
      </c>
      <c r="M37" s="62">
        <f t="shared" si="3"/>
        <v>0</v>
      </c>
    </row>
    <row r="38" spans="1:23" ht="41.65" customHeight="1">
      <c r="A38" s="58" t="s">
        <v>111</v>
      </c>
      <c r="B38" s="59" t="s">
        <v>112</v>
      </c>
      <c r="C38" s="60">
        <v>0</v>
      </c>
      <c r="D38" s="61">
        <f>25*N5</f>
        <v>2250</v>
      </c>
      <c r="E38" s="62">
        <f>$D$38*$C$38</f>
        <v>0</v>
      </c>
      <c r="F38" s="62">
        <f t="shared" ref="F38:M38" si="4">$D$38*$C$38</f>
        <v>0</v>
      </c>
      <c r="G38" s="62">
        <f t="shared" si="4"/>
        <v>0</v>
      </c>
      <c r="H38" s="62">
        <f t="shared" si="4"/>
        <v>0</v>
      </c>
      <c r="I38" s="62">
        <f t="shared" si="4"/>
        <v>0</v>
      </c>
      <c r="J38" s="62">
        <f t="shared" si="4"/>
        <v>0</v>
      </c>
      <c r="K38" s="62">
        <f t="shared" si="4"/>
        <v>0</v>
      </c>
      <c r="L38" s="62">
        <f t="shared" si="4"/>
        <v>0</v>
      </c>
      <c r="M38" s="62">
        <f t="shared" si="4"/>
        <v>0</v>
      </c>
    </row>
    <row r="39" spans="1:23" ht="49.15" customHeight="1">
      <c r="A39" s="58" t="s">
        <v>113</v>
      </c>
      <c r="B39" s="59" t="s">
        <v>104</v>
      </c>
      <c r="C39" s="60">
        <v>0</v>
      </c>
      <c r="D39" s="61">
        <f>8*N5</f>
        <v>720</v>
      </c>
      <c r="E39" s="62">
        <f>$D$39*$C$39</f>
        <v>0</v>
      </c>
      <c r="F39" s="62">
        <f t="shared" ref="F39:M39" si="5">$D$39*$C$39</f>
        <v>0</v>
      </c>
      <c r="G39" s="62">
        <f t="shared" si="5"/>
        <v>0</v>
      </c>
      <c r="H39" s="62">
        <f t="shared" si="5"/>
        <v>0</v>
      </c>
      <c r="I39" s="62">
        <f t="shared" si="5"/>
        <v>0</v>
      </c>
      <c r="J39" s="62">
        <f t="shared" si="5"/>
        <v>0</v>
      </c>
      <c r="K39" s="62">
        <f t="shared" si="5"/>
        <v>0</v>
      </c>
      <c r="L39" s="62">
        <f t="shared" si="5"/>
        <v>0</v>
      </c>
      <c r="M39" s="62">
        <f t="shared" si="5"/>
        <v>0</v>
      </c>
    </row>
    <row r="40" spans="1:23" ht="87.75" customHeight="1">
      <c r="A40" s="58" t="s">
        <v>114</v>
      </c>
      <c r="B40" s="59" t="s">
        <v>104</v>
      </c>
      <c r="C40" s="60">
        <v>0</v>
      </c>
      <c r="D40" s="61">
        <f>3*N5</f>
        <v>270</v>
      </c>
      <c r="E40" s="62">
        <f>$D$40*$C$40</f>
        <v>0</v>
      </c>
      <c r="F40" s="62">
        <f t="shared" ref="F40:M40" si="6">$D$40*$C$40</f>
        <v>0</v>
      </c>
      <c r="G40" s="62">
        <f t="shared" si="6"/>
        <v>0</v>
      </c>
      <c r="H40" s="62">
        <f t="shared" si="6"/>
        <v>0</v>
      </c>
      <c r="I40" s="62">
        <f t="shared" si="6"/>
        <v>0</v>
      </c>
      <c r="J40" s="62">
        <f t="shared" si="6"/>
        <v>0</v>
      </c>
      <c r="K40" s="62">
        <f t="shared" si="6"/>
        <v>0</v>
      </c>
      <c r="L40" s="62">
        <f t="shared" si="6"/>
        <v>0</v>
      </c>
      <c r="M40" s="62">
        <f t="shared" si="6"/>
        <v>0</v>
      </c>
    </row>
    <row r="41" spans="1:23" ht="30.75" customHeight="1">
      <c r="A41" s="58" t="s">
        <v>115</v>
      </c>
      <c r="B41" s="59" t="s">
        <v>116</v>
      </c>
      <c r="C41" s="60">
        <v>0</v>
      </c>
      <c r="D41" s="61">
        <f>20*N5</f>
        <v>1800</v>
      </c>
      <c r="E41" s="62">
        <f>$D$41*$C$41</f>
        <v>0</v>
      </c>
      <c r="F41" s="62">
        <f t="shared" ref="F41:M41" si="7">$D$41*$C$41</f>
        <v>0</v>
      </c>
      <c r="G41" s="62">
        <f t="shared" si="7"/>
        <v>0</v>
      </c>
      <c r="H41" s="62">
        <f t="shared" si="7"/>
        <v>0</v>
      </c>
      <c r="I41" s="62">
        <f t="shared" si="7"/>
        <v>0</v>
      </c>
      <c r="J41" s="62">
        <f t="shared" si="7"/>
        <v>0</v>
      </c>
      <c r="K41" s="62">
        <f t="shared" si="7"/>
        <v>0</v>
      </c>
      <c r="L41" s="62">
        <f t="shared" si="7"/>
        <v>0</v>
      </c>
      <c r="M41" s="62">
        <f t="shared" si="7"/>
        <v>0</v>
      </c>
    </row>
    <row r="42" spans="1:23" ht="64.150000000000006" customHeight="1">
      <c r="A42" s="58" t="s">
        <v>117</v>
      </c>
      <c r="B42" s="59" t="s">
        <v>107</v>
      </c>
      <c r="C42" s="60">
        <v>0</v>
      </c>
      <c r="D42" s="61">
        <f>25*N5</f>
        <v>2250</v>
      </c>
      <c r="E42" s="62"/>
      <c r="F42" s="62"/>
      <c r="G42" s="62"/>
      <c r="H42" s="62">
        <f>$D$42*$C$42</f>
        <v>0</v>
      </c>
      <c r="I42" s="62"/>
      <c r="J42" s="62"/>
      <c r="K42" s="62"/>
      <c r="L42" s="62"/>
      <c r="M42" s="62"/>
    </row>
    <row r="43" spans="1:23" ht="25.5" customHeight="1">
      <c r="A43" s="58" t="s">
        <v>118</v>
      </c>
      <c r="B43" s="59" t="s">
        <v>107</v>
      </c>
      <c r="C43" s="60">
        <v>0</v>
      </c>
      <c r="D43" s="61">
        <f>35*N5</f>
        <v>3150</v>
      </c>
      <c r="E43" s="62"/>
      <c r="F43" s="62"/>
      <c r="G43" s="62"/>
      <c r="H43" s="62">
        <f>$D$42*$C$42</f>
        <v>0</v>
      </c>
      <c r="I43" s="62"/>
      <c r="J43" s="62"/>
      <c r="K43" s="62"/>
      <c r="L43" s="62"/>
      <c r="M43" s="62"/>
    </row>
    <row r="44" spans="1:23">
      <c r="A44" s="63" t="s">
        <v>119</v>
      </c>
      <c r="B44" s="64"/>
      <c r="C44" s="65"/>
      <c r="D44" s="65"/>
      <c r="E44" s="66"/>
      <c r="F44" s="66"/>
      <c r="G44" s="66"/>
      <c r="H44" s="66"/>
      <c r="I44" s="66"/>
      <c r="J44" s="66"/>
      <c r="K44" s="66"/>
      <c r="L44" s="66"/>
      <c r="M44" s="66"/>
    </row>
    <row r="45" spans="1:23">
      <c r="A45" s="140"/>
      <c r="B45" s="141"/>
      <c r="C45" s="142"/>
      <c r="D45" s="142"/>
      <c r="E45" s="143"/>
      <c r="F45" s="143"/>
      <c r="G45" s="143"/>
      <c r="H45" s="143"/>
      <c r="I45" s="143"/>
      <c r="J45" s="143"/>
      <c r="K45" s="143"/>
      <c r="L45" s="143"/>
      <c r="M45" s="143"/>
    </row>
    <row r="46" spans="1:23">
      <c r="A46" s="68" t="s">
        <v>120</v>
      </c>
      <c r="B46" s="69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1:23">
      <c r="A47" s="70" t="s">
        <v>121</v>
      </c>
      <c r="B47" s="71"/>
      <c r="C47" s="72"/>
      <c r="D47" s="72"/>
      <c r="E47" s="73">
        <f t="shared" ref="E47:M47" si="8">SUM(E30:E43)</f>
        <v>10242</v>
      </c>
      <c r="F47" s="73">
        <f t="shared" si="8"/>
        <v>11565</v>
      </c>
      <c r="G47" s="73">
        <f t="shared" si="8"/>
        <v>12015</v>
      </c>
      <c r="H47" s="73">
        <f t="shared" si="8"/>
        <v>13950</v>
      </c>
      <c r="I47" s="73">
        <f t="shared" si="8"/>
        <v>18360</v>
      </c>
      <c r="J47" s="73">
        <f t="shared" si="8"/>
        <v>26370</v>
      </c>
      <c r="K47" s="73">
        <f t="shared" si="8"/>
        <v>35370</v>
      </c>
      <c r="L47" s="73">
        <f t="shared" si="8"/>
        <v>42210</v>
      </c>
      <c r="M47" s="73">
        <f t="shared" si="8"/>
        <v>70290</v>
      </c>
    </row>
    <row r="48" spans="1:23" s="74" customFormat="1" ht="17.850000000000001" customHeight="1">
      <c r="A48" s="70" t="s">
        <v>122</v>
      </c>
      <c r="B48" s="71"/>
      <c r="C48" s="72"/>
      <c r="D48" s="72"/>
      <c r="E48" s="73">
        <f>SUM(E30:E43)/C33</f>
        <v>204.84</v>
      </c>
      <c r="F48" s="73">
        <f>SUM(F30:F41)/C33</f>
        <v>231.3</v>
      </c>
      <c r="G48" s="73">
        <f>SUM(G30:G41)/C33</f>
        <v>240.3</v>
      </c>
      <c r="H48" s="73">
        <f>SUM(H30:H41)/C33</f>
        <v>279</v>
      </c>
      <c r="I48" s="73">
        <f>SUM(I30:I41)/C33</f>
        <v>367.2</v>
      </c>
      <c r="J48" s="73">
        <f>SUM(J30:J41)/C33</f>
        <v>527.4</v>
      </c>
      <c r="K48" s="73">
        <f>SUM(K30:K41)/C33</f>
        <v>707.4</v>
      </c>
      <c r="L48" s="73">
        <f>SUM(L30:L41)/C33</f>
        <v>844.2</v>
      </c>
      <c r="M48" s="73">
        <f>SUM(M30:M41)/C33</f>
        <v>1405.8</v>
      </c>
    </row>
    <row r="49" spans="1:13" s="74" customFormat="1">
      <c r="A49" s="70"/>
      <c r="B49" s="71"/>
      <c r="C49" s="72"/>
      <c r="D49" s="72"/>
      <c r="E49" s="73"/>
      <c r="F49" s="73"/>
      <c r="G49" s="73"/>
      <c r="H49" s="73"/>
      <c r="I49" s="73"/>
      <c r="J49" s="73"/>
      <c r="K49" s="73"/>
      <c r="L49" s="73"/>
      <c r="M49" s="73"/>
    </row>
    <row r="50" spans="1:13" s="74" customFormat="1">
      <c r="A50" s="75" t="s">
        <v>123</v>
      </c>
      <c r="B50" s="76"/>
      <c r="C50" s="72"/>
      <c r="D50" s="72"/>
      <c r="E50" s="77">
        <f>E47-(E47*$N$6%)</f>
        <v>8398.44</v>
      </c>
      <c r="F50" s="77">
        <f t="shared" ref="F50:M50" si="9">F47-(F47*$N$6%)</f>
        <v>9483.2999999999993</v>
      </c>
      <c r="G50" s="77">
        <f t="shared" si="9"/>
        <v>9852.2999999999993</v>
      </c>
      <c r="H50" s="77">
        <f t="shared" si="9"/>
        <v>11439</v>
      </c>
      <c r="I50" s="77">
        <f t="shared" si="9"/>
        <v>15055.2</v>
      </c>
      <c r="J50" s="77">
        <f t="shared" si="9"/>
        <v>21623.4</v>
      </c>
      <c r="K50" s="77">
        <f t="shared" si="9"/>
        <v>29003.4</v>
      </c>
      <c r="L50" s="77">
        <f t="shared" si="9"/>
        <v>34612.199999999997</v>
      </c>
      <c r="M50" s="77">
        <f t="shared" si="9"/>
        <v>57637.8</v>
      </c>
    </row>
    <row r="51" spans="1:13" s="74" customFormat="1">
      <c r="A51" s="78" t="s">
        <v>124</v>
      </c>
      <c r="B51" s="76"/>
      <c r="C51" s="72"/>
      <c r="D51" s="72"/>
      <c r="E51" s="77">
        <f>E50/$C$33</f>
        <v>167.96880000000002</v>
      </c>
      <c r="F51" s="77">
        <f t="shared" ref="F51:L51" si="10">F50/$C$33</f>
        <v>189.666</v>
      </c>
      <c r="G51" s="77">
        <f t="shared" si="10"/>
        <v>197.04599999999999</v>
      </c>
      <c r="H51" s="77">
        <f>H50/$C$33</f>
        <v>228.78</v>
      </c>
      <c r="I51" s="77">
        <f t="shared" si="10"/>
        <v>301.10400000000004</v>
      </c>
      <c r="J51" s="77">
        <f t="shared" si="10"/>
        <v>432.46800000000002</v>
      </c>
      <c r="K51" s="77">
        <f t="shared" si="10"/>
        <v>580.06799999999998</v>
      </c>
      <c r="L51" s="77">
        <f t="shared" si="10"/>
        <v>692.24399999999991</v>
      </c>
      <c r="M51" s="77">
        <f>M50/$C$33</f>
        <v>1152.7560000000001</v>
      </c>
    </row>
    <row r="52" spans="1:13" s="74" customFormat="1">
      <c r="A52" s="78"/>
      <c r="B52" s="76"/>
      <c r="C52" s="72"/>
      <c r="D52" s="72"/>
      <c r="E52" s="77"/>
      <c r="F52" s="77"/>
      <c r="G52" s="77"/>
      <c r="H52" s="77"/>
      <c r="I52" s="77"/>
      <c r="J52" s="77"/>
      <c r="K52" s="77"/>
      <c r="L52" s="77"/>
      <c r="M52" s="77"/>
    </row>
    <row r="53" spans="1:13" s="74" customFormat="1">
      <c r="A53" s="144" t="s">
        <v>125</v>
      </c>
      <c r="B53" s="76"/>
      <c r="C53" s="72"/>
      <c r="D53" s="72"/>
      <c r="E53" s="153">
        <f>E50-(E50*$P$6%)</f>
        <v>6718.7520000000004</v>
      </c>
      <c r="F53" s="153">
        <f>F50-(F50*$P$6%)</f>
        <v>7586.6399999999994</v>
      </c>
      <c r="G53" s="153">
        <f t="shared" ref="G53:M53" si="11">G50-(G50*$P$6%)</f>
        <v>7881.8399999999992</v>
      </c>
      <c r="H53" s="153">
        <f t="shared" si="11"/>
        <v>9151.2000000000007</v>
      </c>
      <c r="I53" s="153">
        <f t="shared" si="11"/>
        <v>12044.16</v>
      </c>
      <c r="J53" s="153">
        <f t="shared" si="11"/>
        <v>17298.72</v>
      </c>
      <c r="K53" s="153">
        <f t="shared" si="11"/>
        <v>23202.720000000001</v>
      </c>
      <c r="L53" s="153">
        <f t="shared" si="11"/>
        <v>27689.759999999998</v>
      </c>
      <c r="M53" s="153">
        <f t="shared" si="11"/>
        <v>46110.240000000005</v>
      </c>
    </row>
    <row r="54" spans="1:13" s="74" customFormat="1">
      <c r="A54" s="145" t="s">
        <v>126</v>
      </c>
      <c r="B54" s="76"/>
      <c r="C54" s="72"/>
      <c r="D54" s="72"/>
      <c r="E54" s="153">
        <f>E53/$C$33</f>
        <v>134.37504000000001</v>
      </c>
      <c r="F54" s="153">
        <f>F53/$C$33</f>
        <v>151.7328</v>
      </c>
      <c r="G54" s="153">
        <f t="shared" ref="G54:M54" si="12">G53/$C$33</f>
        <v>157.63679999999999</v>
      </c>
      <c r="H54" s="153">
        <f t="shared" si="12"/>
        <v>183.024</v>
      </c>
      <c r="I54" s="153">
        <f t="shared" si="12"/>
        <v>240.88319999999999</v>
      </c>
      <c r="J54" s="153">
        <f t="shared" si="12"/>
        <v>345.9744</v>
      </c>
      <c r="K54" s="153">
        <f t="shared" si="12"/>
        <v>464.05440000000004</v>
      </c>
      <c r="L54" s="153">
        <f t="shared" si="12"/>
        <v>553.79520000000002</v>
      </c>
      <c r="M54" s="153">
        <f t="shared" si="12"/>
        <v>922.20480000000009</v>
      </c>
    </row>
    <row r="55" spans="1:13" s="74" customFormat="1" ht="20.85" customHeight="1">
      <c r="A55" s="68"/>
      <c r="B55" s="69"/>
      <c r="C55" s="68"/>
      <c r="D55" s="68"/>
      <c r="E55" s="79"/>
      <c r="F55" s="79"/>
      <c r="G55" s="79"/>
      <c r="H55" s="79"/>
      <c r="I55" s="79"/>
      <c r="J55" s="79"/>
      <c r="K55" s="79"/>
      <c r="L55" s="79"/>
      <c r="M55" s="79"/>
    </row>
    <row r="56" spans="1:13" s="74" customFormat="1">
      <c r="A56" s="68" t="s">
        <v>127</v>
      </c>
      <c r="B56" s="69"/>
      <c r="C56" s="68"/>
      <c r="D56" s="68"/>
      <c r="E56" s="79"/>
      <c r="F56" s="79"/>
      <c r="G56" s="79"/>
      <c r="H56" s="79"/>
      <c r="I56" s="79"/>
      <c r="J56" s="79"/>
      <c r="K56" s="79"/>
      <c r="L56" s="79"/>
      <c r="M56" s="79"/>
    </row>
    <row r="57" spans="1:13" s="74" customFormat="1">
      <c r="A57" s="80" t="s">
        <v>128</v>
      </c>
      <c r="B57" s="81"/>
      <c r="C57" s="82"/>
      <c r="D57" s="82"/>
      <c r="E57" s="83">
        <f>(E58*$C$33)*3</f>
        <v>29189.700000000004</v>
      </c>
      <c r="F57" s="83">
        <f t="shared" ref="F57:M57" si="13">(F58*$C$33)*3</f>
        <v>32960.25</v>
      </c>
      <c r="G57" s="83">
        <f t="shared" si="13"/>
        <v>34242.750000000007</v>
      </c>
      <c r="H57" s="83">
        <f t="shared" si="13"/>
        <v>39757.5</v>
      </c>
      <c r="I57" s="83">
        <f t="shared" si="13"/>
        <v>52326</v>
      </c>
      <c r="J57" s="83">
        <f t="shared" si="13"/>
        <v>75154.5</v>
      </c>
      <c r="K57" s="83">
        <f t="shared" si="13"/>
        <v>100804.5</v>
      </c>
      <c r="L57" s="83">
        <f t="shared" si="13"/>
        <v>120298.5</v>
      </c>
      <c r="M57" s="83">
        <f t="shared" si="13"/>
        <v>200326.5</v>
      </c>
    </row>
    <row r="58" spans="1:13" s="74" customFormat="1">
      <c r="A58" s="80" t="s">
        <v>129</v>
      </c>
      <c r="B58" s="81"/>
      <c r="C58" s="82"/>
      <c r="D58" s="82"/>
      <c r="E58" s="83">
        <f t="shared" ref="E58:M58" si="14">E48-(E48*5%)</f>
        <v>194.59800000000001</v>
      </c>
      <c r="F58" s="83">
        <f t="shared" si="14"/>
        <v>219.73500000000001</v>
      </c>
      <c r="G58" s="83">
        <f t="shared" si="14"/>
        <v>228.28500000000003</v>
      </c>
      <c r="H58" s="83">
        <f t="shared" si="14"/>
        <v>265.05</v>
      </c>
      <c r="I58" s="83">
        <f t="shared" si="14"/>
        <v>348.84</v>
      </c>
      <c r="J58" s="83">
        <f t="shared" si="14"/>
        <v>501.03</v>
      </c>
      <c r="K58" s="83">
        <f t="shared" si="14"/>
        <v>672.03</v>
      </c>
      <c r="L58" s="83">
        <f t="shared" si="14"/>
        <v>801.99</v>
      </c>
      <c r="M58" s="83">
        <f t="shared" si="14"/>
        <v>1335.51</v>
      </c>
    </row>
    <row r="59" spans="1:13" s="74" customFormat="1">
      <c r="A59" s="82"/>
      <c r="B59" s="84"/>
      <c r="C59" s="82"/>
      <c r="D59" s="82"/>
      <c r="E59" s="48"/>
      <c r="F59" s="48"/>
      <c r="G59" s="48"/>
      <c r="H59" s="48"/>
      <c r="I59" s="48"/>
      <c r="J59" s="48"/>
      <c r="K59" s="48"/>
      <c r="L59" s="48"/>
      <c r="M59" s="48"/>
    </row>
    <row r="60" spans="1:13" s="74" customFormat="1">
      <c r="A60" s="75" t="s">
        <v>130</v>
      </c>
      <c r="B60" s="76"/>
      <c r="C60" s="72"/>
      <c r="D60" s="72"/>
      <c r="E60" s="77">
        <f>E57-(E57*$N$6%)</f>
        <v>23935.554000000004</v>
      </c>
      <c r="F60" s="77">
        <f t="shared" ref="F60:M60" si="15">F57-(F57*$N$6%)</f>
        <v>27027.404999999999</v>
      </c>
      <c r="G60" s="77">
        <f t="shared" si="15"/>
        <v>28079.055000000008</v>
      </c>
      <c r="H60" s="85">
        <f t="shared" si="15"/>
        <v>32601.15</v>
      </c>
      <c r="I60" s="85">
        <f t="shared" si="15"/>
        <v>42907.32</v>
      </c>
      <c r="J60" s="77">
        <f t="shared" si="15"/>
        <v>61626.69</v>
      </c>
      <c r="K60" s="77">
        <f t="shared" si="15"/>
        <v>82659.69</v>
      </c>
      <c r="L60" s="77">
        <f t="shared" si="15"/>
        <v>98644.77</v>
      </c>
      <c r="M60" s="77">
        <f t="shared" si="15"/>
        <v>164267.73000000001</v>
      </c>
    </row>
    <row r="61" spans="1:13" s="74" customFormat="1">
      <c r="A61" s="147" t="s">
        <v>131</v>
      </c>
      <c r="B61" s="148"/>
      <c r="C61" s="149"/>
      <c r="D61" s="149"/>
      <c r="E61" s="150">
        <f>(E60/$C$33)/3</f>
        <v>159.57036000000002</v>
      </c>
      <c r="F61" s="150">
        <f>(F60/$C$33)/3</f>
        <v>180.18269999999998</v>
      </c>
      <c r="G61" s="150">
        <f t="shared" ref="G61:L61" si="16">(G60/$C$33)/3</f>
        <v>187.19370000000004</v>
      </c>
      <c r="H61" s="151">
        <f t="shared" si="16"/>
        <v>217.34100000000001</v>
      </c>
      <c r="I61" s="151">
        <f t="shared" si="16"/>
        <v>286.04879999999997</v>
      </c>
      <c r="J61" s="150">
        <f t="shared" si="16"/>
        <v>410.84460000000007</v>
      </c>
      <c r="K61" s="150">
        <f t="shared" si="16"/>
        <v>551.06460000000004</v>
      </c>
      <c r="L61" s="150">
        <f t="shared" si="16"/>
        <v>657.6318</v>
      </c>
      <c r="M61" s="150">
        <f>(M60/$C$33)/3</f>
        <v>1095.1182000000001</v>
      </c>
    </row>
    <row r="62" spans="1:13" s="74" customFormat="1">
      <c r="A62" s="78"/>
      <c r="B62" s="76"/>
      <c r="C62" s="72"/>
      <c r="D62" s="72"/>
      <c r="E62" s="77"/>
      <c r="F62" s="77"/>
      <c r="G62" s="77"/>
      <c r="H62" s="152"/>
      <c r="I62" s="152"/>
      <c r="J62" s="77"/>
      <c r="K62" s="77"/>
      <c r="L62" s="77"/>
      <c r="M62" s="77"/>
    </row>
    <row r="63" spans="1:13" s="74" customFormat="1">
      <c r="A63" s="144" t="s">
        <v>132</v>
      </c>
      <c r="B63" s="76"/>
      <c r="C63" s="72"/>
      <c r="D63" s="72"/>
      <c r="E63" s="153">
        <f>E60-(E60*$P$6%)</f>
        <v>19148.443200000002</v>
      </c>
      <c r="F63" s="153">
        <f>F60-(F60*$P$6%)</f>
        <v>21621.923999999999</v>
      </c>
      <c r="G63" s="153">
        <f t="shared" ref="G63:M63" si="17">G60-(G60*$P$6%)</f>
        <v>22463.244000000006</v>
      </c>
      <c r="H63" s="153">
        <f t="shared" si="17"/>
        <v>26080.920000000002</v>
      </c>
      <c r="I63" s="153">
        <f t="shared" si="17"/>
        <v>34325.856</v>
      </c>
      <c r="J63" s="153">
        <f t="shared" si="17"/>
        <v>49301.351999999999</v>
      </c>
      <c r="K63" s="153">
        <f t="shared" si="17"/>
        <v>66127.752000000008</v>
      </c>
      <c r="L63" s="153">
        <f t="shared" si="17"/>
        <v>78915.816000000006</v>
      </c>
      <c r="M63" s="153">
        <f t="shared" si="17"/>
        <v>131414.18400000001</v>
      </c>
    </row>
    <row r="64" spans="1:13" s="74" customFormat="1">
      <c r="A64" s="145" t="s">
        <v>133</v>
      </c>
      <c r="B64" s="76"/>
      <c r="C64" s="72"/>
      <c r="D64" s="72"/>
      <c r="E64" s="153">
        <f>(E63/$C$33)/3</f>
        <v>127.65628800000002</v>
      </c>
      <c r="F64" s="153">
        <f>(F63/$C$33)/3</f>
        <v>144.14615999999998</v>
      </c>
      <c r="G64" s="153">
        <f t="shared" ref="G64:M64" si="18">(G63/$C$33)/3</f>
        <v>149.75496000000004</v>
      </c>
      <c r="H64" s="153">
        <f t="shared" si="18"/>
        <v>173.87280000000001</v>
      </c>
      <c r="I64" s="153">
        <f t="shared" si="18"/>
        <v>228.83903999999998</v>
      </c>
      <c r="J64" s="153">
        <f t="shared" si="18"/>
        <v>328.67568</v>
      </c>
      <c r="K64" s="153">
        <f t="shared" si="18"/>
        <v>440.85168000000004</v>
      </c>
      <c r="L64" s="153">
        <f t="shared" si="18"/>
        <v>526.10544000000004</v>
      </c>
      <c r="M64" s="153">
        <f t="shared" si="18"/>
        <v>876.09456</v>
      </c>
    </row>
    <row r="65" spans="1:13" s="74" customFormat="1">
      <c r="A65" s="68"/>
      <c r="B65" s="69"/>
      <c r="C65" s="68"/>
      <c r="D65" s="68"/>
      <c r="E65" s="79"/>
      <c r="F65" s="79"/>
      <c r="G65" s="79"/>
      <c r="H65" s="79"/>
      <c r="I65" s="79"/>
      <c r="J65" s="79"/>
      <c r="K65" s="79"/>
      <c r="L65" s="79"/>
      <c r="M65" s="79"/>
    </row>
    <row r="66" spans="1:13" s="74" customFormat="1">
      <c r="A66" s="82" t="s">
        <v>134</v>
      </c>
      <c r="B66" s="84"/>
      <c r="C66" s="82"/>
      <c r="D66" s="82"/>
      <c r="E66" s="48"/>
      <c r="F66" s="48"/>
      <c r="G66" s="48"/>
      <c r="H66" s="48"/>
      <c r="I66" s="48"/>
      <c r="J66" s="48"/>
      <c r="K66" s="48"/>
      <c r="L66" s="48"/>
      <c r="M66" s="48"/>
    </row>
    <row r="67" spans="1:13" s="74" customFormat="1">
      <c r="A67" s="80" t="s">
        <v>135</v>
      </c>
      <c r="B67" s="81"/>
      <c r="C67" s="82"/>
      <c r="D67" s="82"/>
      <c r="E67" s="83">
        <f>(E68*$C$33)*6</f>
        <v>60837.48000000001</v>
      </c>
      <c r="F67" s="83">
        <f t="shared" ref="F67:M67" si="19">(F68*$C$33)*6</f>
        <v>64185.75</v>
      </c>
      <c r="G67" s="83">
        <f t="shared" si="19"/>
        <v>66683.25</v>
      </c>
      <c r="H67" s="83">
        <f t="shared" si="19"/>
        <v>77422.5</v>
      </c>
      <c r="I67" s="83">
        <f t="shared" si="19"/>
        <v>101898</v>
      </c>
      <c r="J67" s="83">
        <f t="shared" si="19"/>
        <v>146353.5</v>
      </c>
      <c r="K67" s="83">
        <f t="shared" si="19"/>
        <v>196303.5</v>
      </c>
      <c r="L67" s="83">
        <f t="shared" si="19"/>
        <v>234265.5</v>
      </c>
      <c r="M67" s="83">
        <f t="shared" si="19"/>
        <v>390109.5</v>
      </c>
    </row>
    <row r="68" spans="1:13" s="74" customFormat="1">
      <c r="A68" s="80" t="s">
        <v>136</v>
      </c>
      <c r="B68" s="81"/>
      <c r="C68" s="82"/>
      <c r="D68" s="82"/>
      <c r="E68" s="83">
        <f>E48-(E48*1%)</f>
        <v>202.79160000000002</v>
      </c>
      <c r="F68" s="83">
        <f t="shared" ref="F68:L68" si="20">F48-(F48*7.5%)</f>
        <v>213.95250000000001</v>
      </c>
      <c r="G68" s="83">
        <f t="shared" si="20"/>
        <v>222.2775</v>
      </c>
      <c r="H68" s="83">
        <f t="shared" si="20"/>
        <v>258.07499999999999</v>
      </c>
      <c r="I68" s="83">
        <f t="shared" si="20"/>
        <v>339.65999999999997</v>
      </c>
      <c r="J68" s="83">
        <f t="shared" si="20"/>
        <v>487.84499999999997</v>
      </c>
      <c r="K68" s="83">
        <f t="shared" si="20"/>
        <v>654.34500000000003</v>
      </c>
      <c r="L68" s="83">
        <f t="shared" si="20"/>
        <v>780.88499999999999</v>
      </c>
      <c r="M68" s="83">
        <f>M48-(M48*7.5%)</f>
        <v>1300.365</v>
      </c>
    </row>
    <row r="69" spans="1:13" s="74" customFormat="1">
      <c r="A69" s="82"/>
      <c r="B69" s="81"/>
      <c r="C69" s="82"/>
      <c r="D69" s="82"/>
      <c r="E69" s="48"/>
      <c r="F69" s="48"/>
      <c r="G69" s="48"/>
      <c r="H69" s="48"/>
      <c r="I69" s="48"/>
      <c r="J69" s="48"/>
      <c r="K69" s="48"/>
      <c r="L69" s="48"/>
      <c r="M69" s="48"/>
    </row>
    <row r="70" spans="1:13" s="74" customFormat="1">
      <c r="A70" s="75" t="s">
        <v>137</v>
      </c>
      <c r="B70" s="81"/>
      <c r="C70" s="82"/>
      <c r="D70" s="82"/>
      <c r="E70" s="77">
        <f>E67-(E67*$N$6%)</f>
        <v>49886.733600000007</v>
      </c>
      <c r="F70" s="77">
        <f t="shared" ref="F70:M70" si="21">F67-(F67*$N$6%)</f>
        <v>52632.315000000002</v>
      </c>
      <c r="G70" s="77">
        <f t="shared" si="21"/>
        <v>54680.264999999999</v>
      </c>
      <c r="H70" s="77">
        <f t="shared" si="21"/>
        <v>63486.45</v>
      </c>
      <c r="I70" s="77">
        <f t="shared" si="21"/>
        <v>83556.36</v>
      </c>
      <c r="J70" s="77">
        <f t="shared" si="21"/>
        <v>120009.87</v>
      </c>
      <c r="K70" s="77">
        <f t="shared" si="21"/>
        <v>160968.87</v>
      </c>
      <c r="L70" s="77">
        <f t="shared" si="21"/>
        <v>192097.71</v>
      </c>
      <c r="M70" s="77">
        <f t="shared" si="21"/>
        <v>319889.79000000004</v>
      </c>
    </row>
    <row r="71" spans="1:13" s="74" customFormat="1">
      <c r="A71" s="78" t="s">
        <v>138</v>
      </c>
      <c r="B71" s="81"/>
      <c r="C71" s="82"/>
      <c r="D71" s="82"/>
      <c r="E71" s="77">
        <f>(E70/$C$33)/6</f>
        <v>166.28911200000002</v>
      </c>
      <c r="F71" s="77">
        <f>(F70/$C$33)/6</f>
        <v>175.44105000000002</v>
      </c>
      <c r="G71" s="77">
        <f t="shared" ref="G71:L71" si="22">(G70/$C$33)/6</f>
        <v>182.26755</v>
      </c>
      <c r="H71" s="77">
        <f t="shared" si="22"/>
        <v>211.6215</v>
      </c>
      <c r="I71" s="77">
        <f t="shared" si="22"/>
        <v>278.52119999999996</v>
      </c>
      <c r="J71" s="77">
        <f t="shared" si="22"/>
        <v>400.03289999999998</v>
      </c>
      <c r="K71" s="77">
        <f t="shared" si="22"/>
        <v>536.56290000000001</v>
      </c>
      <c r="L71" s="77">
        <f t="shared" si="22"/>
        <v>640.32569999999998</v>
      </c>
      <c r="M71" s="77">
        <f>(M70/$C$33)/6</f>
        <v>1066.2993000000001</v>
      </c>
    </row>
    <row r="72" spans="1:13" s="74" customFormat="1">
      <c r="A72" s="78"/>
      <c r="B72" s="76"/>
      <c r="C72" s="72"/>
      <c r="D72" s="72"/>
      <c r="E72" s="77"/>
      <c r="F72" s="77"/>
      <c r="G72" s="77"/>
      <c r="H72" s="77"/>
      <c r="I72" s="77"/>
      <c r="J72" s="77"/>
      <c r="K72" s="77"/>
      <c r="L72" s="77"/>
      <c r="M72" s="77"/>
    </row>
    <row r="73" spans="1:13" s="74" customFormat="1">
      <c r="A73" s="144" t="s">
        <v>139</v>
      </c>
      <c r="B73" s="76"/>
      <c r="C73" s="72"/>
      <c r="D73" s="72"/>
      <c r="E73" s="153">
        <f>E70-(E70*$P$6%)</f>
        <v>39909.386880000005</v>
      </c>
      <c r="F73" s="153">
        <f>F70-(F70*$P$6%)</f>
        <v>42105.851999999999</v>
      </c>
      <c r="G73" s="153">
        <f t="shared" ref="G73:M73" si="23">G70-(G70*$P$6%)</f>
        <v>43744.212</v>
      </c>
      <c r="H73" s="153">
        <f t="shared" si="23"/>
        <v>50789.159999999996</v>
      </c>
      <c r="I73" s="153">
        <f t="shared" si="23"/>
        <v>66845.088000000003</v>
      </c>
      <c r="J73" s="153">
        <f t="shared" si="23"/>
        <v>96007.895999999993</v>
      </c>
      <c r="K73" s="153">
        <f t="shared" si="23"/>
        <v>128775.09599999999</v>
      </c>
      <c r="L73" s="153">
        <f t="shared" si="23"/>
        <v>153678.16800000001</v>
      </c>
      <c r="M73" s="153">
        <f t="shared" si="23"/>
        <v>255911.83200000002</v>
      </c>
    </row>
    <row r="74" spans="1:13" s="74" customFormat="1">
      <c r="A74" s="145" t="s">
        <v>140</v>
      </c>
      <c r="B74" s="76"/>
      <c r="C74" s="72"/>
      <c r="D74" s="72"/>
      <c r="E74" s="153">
        <f>(E73/$C$33)/6</f>
        <v>133.03128960000001</v>
      </c>
      <c r="F74" s="153">
        <f>(F73/$C$33)/6</f>
        <v>140.35283999999999</v>
      </c>
      <c r="G74" s="153">
        <f t="shared" ref="G74:M74" si="24">(G73/$C$33)/6</f>
        <v>145.81404000000001</v>
      </c>
      <c r="H74" s="153">
        <f t="shared" si="24"/>
        <v>169.2972</v>
      </c>
      <c r="I74" s="153">
        <f t="shared" si="24"/>
        <v>222.81695999999999</v>
      </c>
      <c r="J74" s="153">
        <f t="shared" si="24"/>
        <v>320.02632</v>
      </c>
      <c r="K74" s="153">
        <f t="shared" si="24"/>
        <v>429.25031999999993</v>
      </c>
      <c r="L74" s="153">
        <f t="shared" si="24"/>
        <v>512.26056000000005</v>
      </c>
      <c r="M74" s="153">
        <f t="shared" si="24"/>
        <v>853.03944000000001</v>
      </c>
    </row>
    <row r="75" spans="1:13" s="74" customFormat="1">
      <c r="A75" s="68"/>
      <c r="B75" s="69"/>
      <c r="C75" s="68"/>
      <c r="D75" s="68"/>
      <c r="E75" s="79"/>
      <c r="F75" s="79"/>
      <c r="G75" s="79"/>
      <c r="H75" s="79"/>
      <c r="I75" s="79"/>
      <c r="J75" s="79"/>
      <c r="K75" s="79"/>
      <c r="L75" s="79"/>
      <c r="M75" s="79"/>
    </row>
    <row r="76" spans="1:13" s="74" customFormat="1">
      <c r="A76" s="82" t="s">
        <v>141</v>
      </c>
      <c r="B76" s="81"/>
      <c r="C76" s="82"/>
      <c r="D76" s="82"/>
      <c r="E76" s="48"/>
      <c r="F76" s="48"/>
      <c r="G76" s="83"/>
      <c r="H76" s="48"/>
      <c r="I76" s="48"/>
      <c r="J76" s="48"/>
      <c r="K76" s="48"/>
      <c r="L76" s="48"/>
      <c r="M76" s="48"/>
    </row>
    <row r="77" spans="1:13" s="74" customFormat="1">
      <c r="A77" s="80" t="s">
        <v>142</v>
      </c>
      <c r="B77" s="81"/>
      <c r="C77" s="82"/>
      <c r="D77" s="82"/>
      <c r="E77" s="83">
        <f t="shared" ref="E77:M77" si="25">(E78*$C$33)*12</f>
        <v>110613.59999999999</v>
      </c>
      <c r="F77" s="83">
        <f t="shared" si="25"/>
        <v>124902</v>
      </c>
      <c r="G77" s="83">
        <f t="shared" si="25"/>
        <v>129762</v>
      </c>
      <c r="H77" s="83">
        <f>(H78*$C$33)*12</f>
        <v>150660</v>
      </c>
      <c r="I77" s="83">
        <f>(I78*$C$33)*12</f>
        <v>198288</v>
      </c>
      <c r="J77" s="83">
        <f t="shared" si="25"/>
        <v>284796</v>
      </c>
      <c r="K77" s="83">
        <f t="shared" si="25"/>
        <v>381996</v>
      </c>
      <c r="L77" s="83">
        <f t="shared" si="25"/>
        <v>455868</v>
      </c>
      <c r="M77" s="83">
        <f t="shared" si="25"/>
        <v>759132</v>
      </c>
    </row>
    <row r="78" spans="1:13" s="74" customFormat="1">
      <c r="A78" s="80" t="s">
        <v>143</v>
      </c>
      <c r="B78" s="81"/>
      <c r="C78" s="82"/>
      <c r="D78" s="82"/>
      <c r="E78" s="83">
        <f t="shared" ref="E78:M78" si="26">E48-(E48*10%)</f>
        <v>184.35599999999999</v>
      </c>
      <c r="F78" s="83">
        <f t="shared" si="26"/>
        <v>208.17000000000002</v>
      </c>
      <c r="G78" s="83">
        <f t="shared" si="26"/>
        <v>216.27</v>
      </c>
      <c r="H78" s="83">
        <f t="shared" si="26"/>
        <v>251.1</v>
      </c>
      <c r="I78" s="83">
        <f t="shared" si="26"/>
        <v>330.48</v>
      </c>
      <c r="J78" s="83">
        <f t="shared" si="26"/>
        <v>474.65999999999997</v>
      </c>
      <c r="K78" s="83">
        <f t="shared" si="26"/>
        <v>636.66</v>
      </c>
      <c r="L78" s="83">
        <f t="shared" si="26"/>
        <v>759.78</v>
      </c>
      <c r="M78" s="83">
        <f t="shared" si="26"/>
        <v>1265.22</v>
      </c>
    </row>
    <row r="79" spans="1:13" s="74" customFormat="1">
      <c r="A79" s="82"/>
      <c r="B79" s="81"/>
      <c r="C79" s="82"/>
      <c r="D79" s="82"/>
      <c r="E79" s="48"/>
      <c r="F79" s="48"/>
      <c r="G79" s="48"/>
      <c r="H79" s="48"/>
      <c r="I79" s="48"/>
      <c r="J79" s="48"/>
      <c r="K79" s="48"/>
      <c r="L79" s="48"/>
      <c r="M79" s="48"/>
    </row>
    <row r="80" spans="1:13" s="74" customFormat="1">
      <c r="A80" s="75" t="s">
        <v>144</v>
      </c>
      <c r="B80" s="81"/>
      <c r="C80" s="82"/>
      <c r="D80" s="82"/>
      <c r="E80" s="77">
        <f>E77-(E77*$N$6%)</f>
        <v>90703.152000000002</v>
      </c>
      <c r="F80" s="98">
        <f t="shared" ref="F80:M80" si="27">F77-(F77*$N$6%)</f>
        <v>102419.64</v>
      </c>
      <c r="G80" s="98">
        <f t="shared" si="27"/>
        <v>106404.84</v>
      </c>
      <c r="H80" s="77">
        <f t="shared" si="27"/>
        <v>123541.2</v>
      </c>
      <c r="I80" s="77">
        <f t="shared" si="27"/>
        <v>162596.16</v>
      </c>
      <c r="J80" s="77">
        <f t="shared" si="27"/>
        <v>233532.72</v>
      </c>
      <c r="K80" s="77">
        <f t="shared" si="27"/>
        <v>313236.71999999997</v>
      </c>
      <c r="L80" s="77">
        <f t="shared" si="27"/>
        <v>373811.76</v>
      </c>
      <c r="M80" s="77">
        <f t="shared" si="27"/>
        <v>622488.24</v>
      </c>
    </row>
    <row r="81" spans="1:13" s="74" customFormat="1">
      <c r="A81" s="78" t="s">
        <v>145</v>
      </c>
      <c r="B81" s="81"/>
      <c r="C81" s="82"/>
      <c r="D81" s="82"/>
      <c r="E81" s="77">
        <f>(E80/$C$33)/12</f>
        <v>151.17192</v>
      </c>
      <c r="F81" s="98">
        <f>(F80/$C$33)/12</f>
        <v>170.6994</v>
      </c>
      <c r="G81" s="98">
        <f t="shared" ref="G81:L81" si="28">(G80/$C$33)/12</f>
        <v>177.34139999999999</v>
      </c>
      <c r="H81" s="77">
        <f t="shared" si="28"/>
        <v>205.90200000000002</v>
      </c>
      <c r="I81" s="77">
        <f t="shared" si="28"/>
        <v>270.99360000000001</v>
      </c>
      <c r="J81" s="77">
        <f t="shared" si="28"/>
        <v>389.22120000000001</v>
      </c>
      <c r="K81" s="77">
        <f t="shared" si="28"/>
        <v>522.06119999999999</v>
      </c>
      <c r="L81" s="77">
        <f t="shared" si="28"/>
        <v>623.01959999999997</v>
      </c>
      <c r="M81" s="77">
        <f>(M80/$C$33)/12</f>
        <v>1037.4803999999999</v>
      </c>
    </row>
    <row r="82" spans="1:13" s="74" customFormat="1">
      <c r="A82" s="78"/>
      <c r="B82" s="76"/>
      <c r="C82" s="72"/>
      <c r="D82" s="72"/>
      <c r="E82" s="77"/>
      <c r="F82" s="77"/>
      <c r="G82" s="77"/>
      <c r="H82" s="77"/>
      <c r="I82" s="77"/>
      <c r="J82" s="77"/>
      <c r="K82" s="77"/>
      <c r="L82" s="77"/>
      <c r="M82" s="77"/>
    </row>
    <row r="83" spans="1:13" s="74" customFormat="1">
      <c r="A83" s="144" t="s">
        <v>146</v>
      </c>
      <c r="B83" s="76"/>
      <c r="C83" s="72"/>
      <c r="D83" s="72"/>
      <c r="E83" s="153">
        <f>E80-(E80*$P$6%)</f>
        <v>72562.521600000007</v>
      </c>
      <c r="F83" s="153">
        <f>F80-(F80*$P$6%)</f>
        <v>81935.712</v>
      </c>
      <c r="G83" s="153">
        <f t="shared" ref="G83:M83" si="29">G80-(G80*$P$6%)</f>
        <v>85123.872000000003</v>
      </c>
      <c r="H83" s="153">
        <f t="shared" si="29"/>
        <v>98832.959999999992</v>
      </c>
      <c r="I83" s="153">
        <f t="shared" si="29"/>
        <v>130076.928</v>
      </c>
      <c r="J83" s="153">
        <f t="shared" si="29"/>
        <v>186826.17600000001</v>
      </c>
      <c r="K83" s="153">
        <f t="shared" si="29"/>
        <v>250589.37599999999</v>
      </c>
      <c r="L83" s="153">
        <f t="shared" si="29"/>
        <v>299049.408</v>
      </c>
      <c r="M83" s="153">
        <f t="shared" si="29"/>
        <v>497990.592</v>
      </c>
    </row>
    <row r="84" spans="1:13" s="74" customFormat="1">
      <c r="A84" s="145" t="s">
        <v>147</v>
      </c>
      <c r="B84" s="76"/>
      <c r="C84" s="72"/>
      <c r="D84" s="72"/>
      <c r="E84" s="153">
        <f>(E83/$C$33)/12</f>
        <v>120.93753600000001</v>
      </c>
      <c r="F84" s="153">
        <f>(F83/$C$33)/12</f>
        <v>136.55951999999999</v>
      </c>
      <c r="G84" s="153">
        <f t="shared" ref="G84:M84" si="30">(G83/$C$33)/12</f>
        <v>141.87312</v>
      </c>
      <c r="H84" s="153">
        <f t="shared" si="30"/>
        <v>164.7216</v>
      </c>
      <c r="I84" s="153">
        <f t="shared" si="30"/>
        <v>216.79488000000001</v>
      </c>
      <c r="J84" s="153">
        <f t="shared" si="30"/>
        <v>311.37696</v>
      </c>
      <c r="K84" s="153">
        <f t="shared" si="30"/>
        <v>417.64895999999999</v>
      </c>
      <c r="L84" s="153">
        <f t="shared" si="30"/>
        <v>498.41568000000001</v>
      </c>
      <c r="M84" s="153">
        <f t="shared" si="30"/>
        <v>829.98432000000003</v>
      </c>
    </row>
    <row r="85" spans="1:13" s="74" customFormat="1">
      <c r="A85" s="68"/>
      <c r="B85" s="69"/>
      <c r="C85" s="68"/>
      <c r="D85" s="68"/>
      <c r="E85" s="79"/>
      <c r="F85" s="79"/>
      <c r="G85" s="79"/>
      <c r="H85" s="79"/>
      <c r="I85" s="79"/>
      <c r="J85" s="79"/>
      <c r="K85" s="79"/>
      <c r="L85" s="79"/>
      <c r="M85" s="79"/>
    </row>
    <row r="86" spans="1:13" s="74" customFormat="1">
      <c r="A86" s="80" t="s">
        <v>148</v>
      </c>
      <c r="B86" s="81"/>
      <c r="C86" s="82"/>
      <c r="D86" s="82"/>
      <c r="E86" s="83" t="s">
        <v>149</v>
      </c>
      <c r="F86" s="83" t="s">
        <v>149</v>
      </c>
      <c r="G86" s="83" t="s">
        <v>149</v>
      </c>
      <c r="H86" s="83" t="s">
        <v>149</v>
      </c>
      <c r="I86" s="83" t="s">
        <v>149</v>
      </c>
      <c r="J86" s="83" t="s">
        <v>149</v>
      </c>
      <c r="K86" s="83" t="s">
        <v>149</v>
      </c>
      <c r="L86" s="83" t="s">
        <v>149</v>
      </c>
      <c r="M86" s="83" t="s">
        <v>149</v>
      </c>
    </row>
    <row r="87" spans="1:13">
      <c r="A87" s="80" t="s">
        <v>150</v>
      </c>
      <c r="B87" s="81"/>
      <c r="C87" s="82"/>
      <c r="D87" s="82"/>
      <c r="E87" s="83">
        <v>49</v>
      </c>
      <c r="F87" s="83">
        <v>49</v>
      </c>
      <c r="G87" s="83">
        <v>99</v>
      </c>
      <c r="H87" s="83">
        <v>99</v>
      </c>
      <c r="I87" s="83">
        <v>99</v>
      </c>
      <c r="J87" s="83">
        <v>149</v>
      </c>
      <c r="K87" s="83">
        <v>149</v>
      </c>
      <c r="L87" s="83">
        <v>199</v>
      </c>
      <c r="M87" s="83">
        <v>199</v>
      </c>
    </row>
    <row r="88" spans="1:13">
      <c r="A88" s="86" t="s">
        <v>151</v>
      </c>
      <c r="B88" s="87"/>
      <c r="C88" s="88"/>
      <c r="D88" s="88"/>
      <c r="E88" s="88"/>
      <c r="F88" s="88"/>
      <c r="G88" s="88"/>
      <c r="H88" s="88"/>
      <c r="I88" s="88"/>
      <c r="J88" s="88"/>
      <c r="K88" s="88"/>
      <c r="L88" s="89"/>
      <c r="M88" s="89"/>
    </row>
    <row r="89" spans="1:13">
      <c r="A89" s="63" t="s">
        <v>152</v>
      </c>
      <c r="B89" s="67"/>
      <c r="C89" s="90"/>
      <c r="D89" s="90"/>
      <c r="E89" s="90"/>
      <c r="F89" s="90"/>
      <c r="G89" s="90"/>
      <c r="H89" s="90"/>
      <c r="I89" s="90"/>
      <c r="J89" s="90"/>
      <c r="K89" s="90"/>
      <c r="L89" s="91"/>
      <c r="M89" s="91"/>
    </row>
    <row r="90" spans="1:13">
      <c r="A90" s="63" t="s">
        <v>153</v>
      </c>
      <c r="B90" s="67"/>
      <c r="C90" s="90"/>
      <c r="D90" s="90"/>
      <c r="E90" s="90"/>
      <c r="F90" s="90"/>
      <c r="G90" s="90"/>
      <c r="H90" s="90"/>
      <c r="I90" s="90"/>
      <c r="J90" s="92"/>
      <c r="K90" s="92"/>
      <c r="L90" s="91"/>
      <c r="M90" s="91"/>
    </row>
    <row r="91" spans="1:13">
      <c r="A91" s="63" t="s">
        <v>154</v>
      </c>
      <c r="B91" s="67"/>
      <c r="C91" s="90"/>
      <c r="D91" s="90"/>
      <c r="E91" s="90"/>
      <c r="F91" s="90"/>
      <c r="G91" s="90"/>
      <c r="H91" s="90"/>
      <c r="I91" s="90"/>
      <c r="J91" s="92"/>
      <c r="K91" s="92"/>
      <c r="L91" s="91"/>
      <c r="M91" s="91"/>
    </row>
    <row r="92" spans="1:13">
      <c r="A92" s="93" t="s">
        <v>155</v>
      </c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6"/>
      <c r="M92" s="96"/>
    </row>
    <row r="104" spans="21:21">
      <c r="U104" s="136"/>
    </row>
  </sheetData>
  <phoneticPr fontId="32" type="noConversion"/>
  <conditionalFormatting sqref="N5">
    <cfRule type="expression" dxfId="0" priority="3">
      <formula>CurrSel="Rupee"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2D44A6443C419D40112B2555FBAB" ma:contentTypeVersion="11" ma:contentTypeDescription="Create a new document." ma:contentTypeScope="" ma:versionID="04651c126fb961e17225cc8d895abd41">
  <xsd:schema xmlns:xsd="http://www.w3.org/2001/XMLSchema" xmlns:xs="http://www.w3.org/2001/XMLSchema" xmlns:p="http://schemas.microsoft.com/office/2006/metadata/properties" xmlns:ns2="270a52b9-840b-4408-9342-83d2fcbe797e" xmlns:ns3="3997ccbc-289b-4270-ae04-5292931ac304" targetNamespace="http://schemas.microsoft.com/office/2006/metadata/properties" ma:root="true" ma:fieldsID="ff37a093a4bf3177af94ee51e67e635a" ns2:_="" ns3:_="">
    <xsd:import namespace="270a52b9-840b-4408-9342-83d2fcbe797e"/>
    <xsd:import namespace="3997ccbc-289b-4270-ae04-5292931ac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52b9-840b-4408-9342-83d2fcbe7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51d3a-a750-4965-a966-12d54834a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ccbc-289b-4270-ae04-5292931ac3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890fff-0920-4fe3-af70-c15e49fb5475}" ma:internalName="TaxCatchAll" ma:showField="CatchAllData" ma:web="3997ccbc-289b-4270-ae04-5292931ac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7ccbc-289b-4270-ae04-5292931ac304" xsi:nil="true"/>
    <lcf76f155ced4ddcb4097134ff3c332f xmlns="270a52b9-840b-4408-9342-83d2fcbe797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1D0D6-F69F-4DF3-AEEF-1FA9A2FF13D8}"/>
</file>

<file path=customXml/itemProps2.xml><?xml version="1.0" encoding="utf-8"?>
<ds:datastoreItem xmlns:ds="http://schemas.openxmlformats.org/officeDocument/2006/customXml" ds:itemID="{184D0937-C4E1-4E1C-98C3-742BA577AF3F}"/>
</file>

<file path=customXml/itemProps3.xml><?xml version="1.0" encoding="utf-8"?>
<ds:datastoreItem xmlns:ds="http://schemas.openxmlformats.org/officeDocument/2006/customXml" ds:itemID="{516993DF-7E56-4846-B254-F4D4F8F62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Jhaveri</dc:creator>
  <cp:keywords/>
  <dc:description/>
  <cp:lastModifiedBy>Tarushi Chaudhary</cp:lastModifiedBy>
  <cp:revision/>
  <dcterms:created xsi:type="dcterms:W3CDTF">2015-02-04T17:37:00Z</dcterms:created>
  <dcterms:modified xsi:type="dcterms:W3CDTF">2026-01-13T12:11:33Z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0x0101009D662D44A6443C419D40112B2555FBAB</vt:lpwstr>
  </property>
  <property fmtid="{D5CDD505-2E9C-101B-9397-08002B2CF9AE}" pid="3" name="MediaServiceImageTags">
    <vt:lpwstr/>
  </property>
</Properties>
</file>