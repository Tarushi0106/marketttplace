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shaurryatele.sharepoint.com/sites/NaaS/Shared Documents/Partner enablement/Marketplace/Excel calculators/3.Microsoft 365 Services/"/>
    </mc:Choice>
  </mc:AlternateContent>
  <xr:revisionPtr revIDLastSave="0" documentId="8_{20008658-89F9-4DB0-A86A-9F24F65B75B3}" xr6:coauthVersionLast="47" xr6:coauthVersionMax="47" xr10:uidLastSave="{00000000-0000-0000-0000-000000000000}"/>
  <bookViews>
    <workbookView xWindow="-110" yWindow="-110" windowWidth="19420" windowHeight="10300" tabRatio="292" xr2:uid="{00000000-000D-0000-FFFF-FFFF00000000}"/>
  </bookViews>
  <sheets>
    <sheet name="Microsoft 36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L15" i="1"/>
  <c r="H15" i="1"/>
  <c r="M15" i="1" s="1"/>
  <c r="H16" i="1"/>
  <c r="G17" i="1"/>
  <c r="G16" i="1"/>
  <c r="E15" i="1"/>
  <c r="E16" i="1"/>
  <c r="E13" i="1"/>
  <c r="E23" i="1"/>
  <c r="H73" i="1" l="1"/>
  <c r="I88" i="1"/>
  <c r="I87" i="1"/>
  <c r="I86" i="1"/>
  <c r="I85" i="1"/>
  <c r="I84" i="1"/>
  <c r="I83" i="1"/>
  <c r="I82" i="1"/>
  <c r="I78" i="1"/>
  <c r="I77" i="1"/>
  <c r="I76" i="1"/>
  <c r="I43" i="1"/>
  <c r="I42" i="1"/>
  <c r="I41" i="1"/>
  <c r="I40" i="1"/>
  <c r="I39" i="1"/>
  <c r="I38" i="1"/>
  <c r="I37" i="1"/>
  <c r="I36" i="1"/>
  <c r="I35" i="1"/>
  <c r="J78" i="1" l="1"/>
  <c r="H78" i="1"/>
  <c r="G43" i="1" l="1"/>
  <c r="H43" i="1" s="1"/>
  <c r="G42" i="1"/>
  <c r="H42" i="1" s="1"/>
  <c r="K43" i="1" l="1"/>
  <c r="K42" i="1"/>
  <c r="J77" i="1" l="1"/>
  <c r="H77" i="1"/>
  <c r="F84" i="1" l="1"/>
  <c r="F83" i="1" l="1"/>
  <c r="E34" i="1" l="1"/>
  <c r="I34" i="1" s="1"/>
  <c r="E33" i="1"/>
  <c r="I33" i="1" s="1"/>
  <c r="K34" i="1"/>
  <c r="K33" i="1"/>
  <c r="G34" i="1" l="1"/>
  <c r="H34" i="1" s="1"/>
  <c r="G33" i="1"/>
  <c r="H33" i="1" s="1"/>
  <c r="K17" i="1"/>
  <c r="E17" i="1"/>
  <c r="H17" i="1" s="1"/>
  <c r="I17" i="1" l="1"/>
  <c r="J17" i="1" s="1"/>
  <c r="F85" i="1" l="1"/>
  <c r="F86" i="1"/>
  <c r="F87" i="1"/>
  <c r="F88" i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E73" i="1"/>
  <c r="E68" i="1"/>
  <c r="E67" i="1"/>
  <c r="I67" i="1" s="1"/>
  <c r="E66" i="1"/>
  <c r="E63" i="1"/>
  <c r="E62" i="1"/>
  <c r="E61" i="1"/>
  <c r="I61" i="1" s="1"/>
  <c r="E60" i="1"/>
  <c r="E57" i="1"/>
  <c r="E56" i="1"/>
  <c r="E53" i="1"/>
  <c r="I53" i="1" s="1"/>
  <c r="E50" i="1"/>
  <c r="E49" i="1"/>
  <c r="E48" i="1"/>
  <c r="E47" i="1"/>
  <c r="E46" i="1"/>
  <c r="E30" i="1"/>
  <c r="I30" i="1" s="1"/>
  <c r="E29" i="1"/>
  <c r="I29" i="1" s="1"/>
  <c r="E28" i="1"/>
  <c r="I28" i="1" s="1"/>
  <c r="E27" i="1"/>
  <c r="I27" i="1" s="1"/>
  <c r="E24" i="1"/>
  <c r="E22" i="1"/>
  <c r="E21" i="1"/>
  <c r="E18" i="1"/>
  <c r="G18" i="1" s="1"/>
  <c r="G57" i="1" l="1"/>
  <c r="I57" i="1"/>
  <c r="G56" i="1"/>
  <c r="I56" i="1"/>
  <c r="G46" i="1"/>
  <c r="H46" i="1" s="1"/>
  <c r="I46" i="1"/>
  <c r="G48" i="1"/>
  <c r="H48" i="1" s="1"/>
  <c r="I48" i="1"/>
  <c r="G49" i="1"/>
  <c r="H49" i="1" s="1"/>
  <c r="I49" i="1"/>
  <c r="G50" i="1"/>
  <c r="H50" i="1" s="1"/>
  <c r="I50" i="1"/>
  <c r="G47" i="1"/>
  <c r="H47" i="1" s="1"/>
  <c r="I47" i="1"/>
  <c r="G66" i="1"/>
  <c r="H66" i="1" s="1"/>
  <c r="I66" i="1"/>
  <c r="N73" i="1"/>
  <c r="I73" i="1"/>
  <c r="G68" i="1"/>
  <c r="H68" i="1" s="1"/>
  <c r="I68" i="1"/>
  <c r="G60" i="1"/>
  <c r="H60" i="1" s="1"/>
  <c r="I60" i="1"/>
  <c r="G63" i="1"/>
  <c r="H63" i="1" s="1"/>
  <c r="I63" i="1"/>
  <c r="G62" i="1"/>
  <c r="H62" i="1" s="1"/>
  <c r="I62" i="1"/>
  <c r="I22" i="1"/>
  <c r="G22" i="1"/>
  <c r="H22" i="1" s="1"/>
  <c r="I23" i="1"/>
  <c r="G23" i="1"/>
  <c r="H23" i="1" s="1"/>
  <c r="I24" i="1"/>
  <c r="G24" i="1"/>
  <c r="H24" i="1" s="1"/>
  <c r="I21" i="1"/>
  <c r="G21" i="1"/>
  <c r="H21" i="1" s="1"/>
  <c r="H18" i="1"/>
  <c r="G27" i="1"/>
  <c r="H27" i="1" s="1"/>
  <c r="G53" i="1"/>
  <c r="H53" i="1" s="1"/>
  <c r="G61" i="1"/>
  <c r="H61" i="1" s="1"/>
  <c r="G67" i="1"/>
  <c r="H67" i="1" s="1"/>
  <c r="I15" i="1"/>
  <c r="J15" i="1" s="1"/>
  <c r="G28" i="1"/>
  <c r="H28" i="1" s="1"/>
  <c r="I18" i="1"/>
  <c r="J18" i="1" s="1"/>
  <c r="G29" i="1"/>
  <c r="H29" i="1" s="1"/>
  <c r="I16" i="1"/>
  <c r="J16" i="1" s="1"/>
  <c r="G30" i="1"/>
  <c r="H30" i="1" s="1"/>
  <c r="H76" i="1" l="1"/>
  <c r="J76" i="1"/>
  <c r="K57" i="1"/>
  <c r="K56" i="1"/>
  <c r="K69" i="1" l="1"/>
  <c r="K68" i="1"/>
  <c r="K67" i="1"/>
  <c r="K66" i="1"/>
  <c r="N88" i="1" l="1"/>
  <c r="N87" i="1"/>
  <c r="N86" i="1"/>
  <c r="N85" i="1"/>
  <c r="N82" i="1"/>
  <c r="K63" i="1"/>
  <c r="K62" i="1"/>
  <c r="K61" i="1"/>
  <c r="K60" i="1"/>
  <c r="K53" i="1"/>
  <c r="K50" i="1"/>
  <c r="K49" i="1"/>
  <c r="K48" i="1"/>
  <c r="K47" i="1"/>
  <c r="K46" i="1"/>
  <c r="K41" i="1"/>
  <c r="K40" i="1"/>
  <c r="K39" i="1"/>
  <c r="K38" i="1"/>
  <c r="K37" i="1"/>
  <c r="K36" i="1"/>
  <c r="K35" i="1"/>
  <c r="K30" i="1"/>
  <c r="K29" i="1"/>
  <c r="K28" i="1"/>
  <c r="K27" i="1"/>
  <c r="K24" i="1"/>
  <c r="K23" i="1"/>
  <c r="K22" i="1"/>
  <c r="K21" i="1"/>
  <c r="K16" i="1"/>
  <c r="K18" i="1"/>
  <c r="K15" i="1"/>
  <c r="N90" i="1" l="1"/>
</calcChain>
</file>

<file path=xl/sharedStrings.xml><?xml version="1.0" encoding="utf-8"?>
<sst xmlns="http://schemas.openxmlformats.org/spreadsheetml/2006/main" count="197" uniqueCount="145">
  <si>
    <t xml:space="preserve">XcellHost Cloud Services Pvt. Ltd. </t>
  </si>
  <si>
    <t>Currency Calculator</t>
  </si>
  <si>
    <t>209, Laxmi Plaza, Bldg. No. 9,Laxmi Industrial Estate, Andheri (W), Mumbai - 400053 </t>
  </si>
  <si>
    <t>Base Currency Unit</t>
  </si>
  <si>
    <t>USD</t>
  </si>
  <si>
    <t>Tel:  +91-22-67111555</t>
  </si>
  <si>
    <t>Quote Currency  Unit</t>
  </si>
  <si>
    <t>INR</t>
  </si>
  <si>
    <t>Website :  http://www.xcellhost.cloud   Email : sales@xcellhost.cloud</t>
  </si>
  <si>
    <t>Currency Exchange Rate</t>
  </si>
  <si>
    <t>CIN : U72100MH2000PTC124789 | GST : 27AAACO4131D1ZY</t>
  </si>
  <si>
    <t>Partner Margin on O365 Plan %</t>
  </si>
  <si>
    <t xml:space="preserve">Company Name : </t>
  </si>
  <si>
    <t xml:space="preserve">Sales Rep :  </t>
  </si>
  <si>
    <t>Partner Margin on Archive Plan %</t>
  </si>
  <si>
    <t xml:space="preserve">Contact Person  : </t>
  </si>
  <si>
    <t>Pre-Sales :   Mr. Amit Thorat</t>
  </si>
  <si>
    <t>Billing Frequency</t>
  </si>
  <si>
    <t xml:space="preserve">Phone No : </t>
  </si>
  <si>
    <t>Quote Date :  08-08-2020</t>
  </si>
  <si>
    <t>Quotation No : XLIN/CP/M365/2020/533</t>
  </si>
  <si>
    <t>XcellOffice -  Secure Messaging Services</t>
  </si>
  <si>
    <t xml:space="preserve">Item Description </t>
  </si>
  <si>
    <t>Unit</t>
  </si>
  <si>
    <t>$</t>
  </si>
  <si>
    <t>Monthly
Cost</t>
  </si>
  <si>
    <t>Qty</t>
  </si>
  <si>
    <t>Annual 
Subscription</t>
  </si>
  <si>
    <t>Total
Amount</t>
  </si>
  <si>
    <t>Annual 
Subscription with 
24 x 7 Support</t>
  </si>
  <si>
    <t>Billing
Frequency</t>
  </si>
  <si>
    <t xml:space="preserve">Partner Monthly Price </t>
  </si>
  <si>
    <t xml:space="preserve">Partner Annual Price </t>
  </si>
  <si>
    <t>Comments</t>
  </si>
  <si>
    <t>Quote Currency</t>
  </si>
  <si>
    <t>Microsoft 365 SMB (Upto 300 users)</t>
  </si>
  <si>
    <t xml:space="preserve">Microsoft 365 Business Basic (earlier Office 365 Business Essentials) </t>
  </si>
  <si>
    <t>per user</t>
  </si>
  <si>
    <t>Best for businesses that need Microsoft Teams and cloud storage. Desktop versions of Office apps not included. 50 GB Mailbox | OneDrive | Sharepoint | Teams included</t>
  </si>
  <si>
    <t>Microsoft 365 Business Standard (earlier Office 365 Business Premium)</t>
  </si>
  <si>
    <t>Best for businesses that need Office apps across devices plus business email, cloud file storage, and online meetings and chat.</t>
  </si>
  <si>
    <t>Microsoft 365 Business Premium  (earlier Microsoft 365 Business)</t>
  </si>
  <si>
    <t>Best for businesses that need everything included in Business Standard plus advanced cyberthreat protection and device management.</t>
  </si>
  <si>
    <t xml:space="preserve">Microsoft 365 Apps for Business (earlier Office 365 Business) </t>
  </si>
  <si>
    <t>Best for businesses that need Office apps across devices and cloud file storage. Business email and Microsoft Teams not included.</t>
  </si>
  <si>
    <t>Microsoft 365 Enterprise Plans</t>
  </si>
  <si>
    <t xml:space="preserve">Microsoft 365 ProPlus  </t>
  </si>
  <si>
    <r>
      <rPr>
        <sz val="11"/>
        <color rgb="FF000000"/>
        <rFont val="Calibri"/>
        <family val="2"/>
        <scheme val="minor"/>
      </rPr>
      <t xml:space="preserve">Full Office Professional License | 1 TB OneDrive Storage | </t>
    </r>
    <r>
      <rPr>
        <sz val="11"/>
        <color rgb="FF833C0C"/>
        <rFont val="Calibri"/>
        <family val="2"/>
        <scheme val="minor"/>
      </rPr>
      <t>(Email not included)</t>
    </r>
  </si>
  <si>
    <t>Microsoft 365 Enterprise E1  (50 GB Mailbox)</t>
  </si>
  <si>
    <t>50 GB Mailbox | 1 TB OneDrive Storage | Skype HD Video Conf | Office Online | Sharepoint Online</t>
  </si>
  <si>
    <t>Microsoft 365 Enterprise E3  (50 GB Mailbox)</t>
  </si>
  <si>
    <t>All the features of ProPlus and E1 plus compliance tools, information protection, and voicemail</t>
  </si>
  <si>
    <t xml:space="preserve">Microsoft 365 Enterprise E5 </t>
  </si>
  <si>
    <t>All the features of E3 plus a new class of UC with advanced Skype for Business meetings and voice</t>
  </si>
  <si>
    <t>Microsoft 365 Plans</t>
  </si>
  <si>
    <t>Microsoft 365 Business</t>
  </si>
  <si>
    <t>Office 365 + Windows 10 Standard + EMS (Upto 300 Users)</t>
  </si>
  <si>
    <t>Microsoft 365 Enterprise E3</t>
  </si>
  <si>
    <t>Office 365 Enterprise E3 + Windows 10 Ent + EMS</t>
  </si>
  <si>
    <t>Microsoft 365 Enterprise E5</t>
  </si>
  <si>
    <t>Office 365 Enterprise E5 + Windows 10 Ent + EMS</t>
  </si>
  <si>
    <t>Microsoft 365 Enterprise F1</t>
  </si>
  <si>
    <t>Office 365 Enterprise F1 + Windows 10 Ent + EMS</t>
  </si>
  <si>
    <t xml:space="preserve">Microsoft 365 Security </t>
  </si>
  <si>
    <t>Office 365 ATP Plan #1</t>
  </si>
  <si>
    <t>Office 365 ATP Plan #2</t>
  </si>
  <si>
    <t>Azure Active Directory Basic</t>
  </si>
  <si>
    <t>Azure Active Directory Premium P1</t>
  </si>
  <si>
    <t>Azure Active Directory Premium P2</t>
  </si>
  <si>
    <t>Azure Advanced Threat Protection for Users</t>
  </si>
  <si>
    <t>Enterprise Mobility + Security E3</t>
  </si>
  <si>
    <t>Enterprise Mobility + Security E5</t>
  </si>
  <si>
    <t>Microsoft Cloud App Security</t>
  </si>
  <si>
    <t>Azure Information Protection Plan1</t>
  </si>
  <si>
    <t>Microsoft Defender For Office 365 Plan 1</t>
  </si>
  <si>
    <t>Exchange Online Plans-Enterprise</t>
  </si>
  <si>
    <t>Exchange Online (Plan 1)</t>
  </si>
  <si>
    <t xml:space="preserve">50 GB Mail Storage | Contacts | Calendar | In Place Archive </t>
  </si>
  <si>
    <t>Exchange Online (Plan 2)</t>
  </si>
  <si>
    <t>Unlimited Storage | Contacts | Calendar | In Place Archive | In Place Hold | DLP | Voicemail</t>
  </si>
  <si>
    <t>Exchange Online Kiosk</t>
  </si>
  <si>
    <t xml:space="preserve">Advanced Threat Protection </t>
  </si>
  <si>
    <t>Exchange Online Archiving for Exchange Online</t>
  </si>
  <si>
    <t>Email Archiving with Compliance</t>
  </si>
  <si>
    <t>Exchange Online Protection</t>
  </si>
  <si>
    <t xml:space="preserve">Anti-Virus | Anti-Spam | Policy | Encryption </t>
  </si>
  <si>
    <t>Email Backup Services</t>
  </si>
  <si>
    <t>Office 365 Backup Service</t>
  </si>
  <si>
    <t>per GB</t>
  </si>
  <si>
    <t>Unlimited Storage + Retention</t>
  </si>
  <si>
    <t>DropSuite Email Archiving</t>
  </si>
  <si>
    <t>Business Backup</t>
  </si>
  <si>
    <t>per mailbox</t>
  </si>
  <si>
    <t>Unlimited Storage | Unlimited Retention | Daily Backups | Business Continuity | Admin Control Panel | Suitable for any email</t>
  </si>
  <si>
    <t>Business Archiver</t>
  </si>
  <si>
    <t>Unlimited Storage | Unlimited Retention | Fully Compliant | Daily Backups | Business Continuity | Admin Control Panel | Suitable for any email | Migrate, Download &amp; Restore</t>
  </si>
  <si>
    <t>Email Archiving Services</t>
  </si>
  <si>
    <t>XcellArchive Continuity</t>
  </si>
  <si>
    <t>10 GB per vault  + Approx 3 Year Retention + No E-Discovery</t>
  </si>
  <si>
    <t>XcellArchive Tracer</t>
  </si>
  <si>
    <t>30 GB per vault  + Approx 8 Year Retention + E-Discovery</t>
  </si>
  <si>
    <t>XcellArchive Durability</t>
  </si>
  <si>
    <t>100 GB per vault  + Approx 20 Year Retention + E-Discovery</t>
  </si>
  <si>
    <t>XcellArchive Hold</t>
  </si>
  <si>
    <t>2GB Storage added to the cumulative quota + Forever Retention</t>
  </si>
  <si>
    <t>Email Anti-Phishing Services</t>
  </si>
  <si>
    <t>Anti-Phishing - Small</t>
  </si>
  <si>
    <t>per plan</t>
  </si>
  <si>
    <t>Up to 100 Employees / Single Admin User</t>
  </si>
  <si>
    <t>Anti-Phishing - Medium</t>
  </si>
  <si>
    <t>Up to 300 Employees / Local User Account</t>
  </si>
  <si>
    <t>Anti-Phishing - Large</t>
  </si>
  <si>
    <t>Up to 750 Employees / Multiple Admin User / Local User Accounts</t>
  </si>
  <si>
    <t>Anti-Phishing - X-Large</t>
  </si>
  <si>
    <t>Call Sales</t>
  </si>
  <si>
    <t>Over 750 Employees / Multiple Admin User / Local User Accounts</t>
  </si>
  <si>
    <t>XcellEmail Signature</t>
  </si>
  <si>
    <t>Exclaimer Email Signature</t>
  </si>
  <si>
    <t xml:space="preserve">Total Billing Amount </t>
  </si>
  <si>
    <t>On-Time Implementation | Configuration | Setup Cost</t>
  </si>
  <si>
    <t>Migration Cost</t>
  </si>
  <si>
    <t>Price</t>
  </si>
  <si>
    <t>Partner Amount</t>
  </si>
  <si>
    <t>Mail  Migration  Services</t>
  </si>
  <si>
    <t xml:space="preserve">Mailbox Migration Services </t>
  </si>
  <si>
    <t xml:space="preserve">Mailbox Migration Services From Microsoft Exchange to Office 365 - Manual Migration </t>
  </si>
  <si>
    <t xml:space="preserve">Mailbox Migration Services From Gsuite to Office 365 - Manual Migration </t>
  </si>
  <si>
    <t>Assessment Services for HealthCheck for Office 365</t>
  </si>
  <si>
    <t xml:space="preserve">Mailbox Migration Services for Office 365 - Manual Migration </t>
  </si>
  <si>
    <t>Mailbox Migration Tool for Office 365  - MigrationWhiz  Automated Migration</t>
  </si>
  <si>
    <t>Archive Migration Service  for Office 365  - MigrationWhiz  Automated Migration</t>
  </si>
  <si>
    <t>Total Amount for Migration</t>
  </si>
  <si>
    <t>Contract Terms &amp; Conditions</t>
  </si>
  <si>
    <t>a. Annual Advance with One Time Setup</t>
  </si>
  <si>
    <t>b. Delivery :  Within 2 working days from PO + Advance Payment Receipt</t>
  </si>
  <si>
    <t>c. Billing Details : Order + PO   to be raise in favour of  XcellHost Cloud Services Pvt Ltd.</t>
  </si>
  <si>
    <t>d. Quote Validity : 1 week</t>
  </si>
  <si>
    <t>e. Overage Billing will be billed as actuals</t>
  </si>
  <si>
    <t>f.  Withholding Tax will be customer's responsibility.</t>
  </si>
  <si>
    <t>g.  Once Invoice is raised,  it will not be cancelled as per GST rules. In case of any changes, a credit note/debit note will be raised for the same.</t>
  </si>
  <si>
    <t>h.  Beneficiary Bank  |  Beneficiary Bank Account No | Payable To</t>
  </si>
  <si>
    <t xml:space="preserve">      IDFC BANK LTD     |   10014868161                                | XcellHost Cloud Services Pvt Ltd</t>
  </si>
  <si>
    <t xml:space="preserve">      HDFC BANK LTD   |   00192000006284                         | XcellHost Cloud Services Pvt Ltd</t>
  </si>
  <si>
    <t xml:space="preserve">      ICICI BANK LTD    |   026305000715                              | XcellHost Cloud Services Pvt Ltd</t>
  </si>
  <si>
    <r>
      <t>NOTE:</t>
    </r>
    <r>
      <rPr>
        <b/>
        <sz val="11"/>
        <color rgb="FF181726"/>
        <rFont val="Arial"/>
        <family val="2"/>
      </rPr>
      <t> Immediate activation of your account / services we request all our clients to deposit the bill amount in the nearest bank branch in favour of “XcellHost Cloud Services Pvt. Ltd.” &amp; e-mail us the intimation at billing@xcellhost.cloud along with the Invoice No &amp; Cheque number.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</si>
</sst>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&quot;₹&quot;\ #,##0.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u/>
      <sz val="12"/>
      <color rgb="FF00206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u/>
      <sz val="12"/>
      <color rgb="FFC00000"/>
      <name val="Calibri"/>
      <family val="2"/>
      <scheme val="minor"/>
    </font>
    <font>
      <b/>
      <sz val="11"/>
      <color rgb="FF181726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33C0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165" fontId="24" fillId="5" borderId="3" xfId="0" applyNumberFormat="1" applyFont="1" applyFill="1" applyBorder="1" applyAlignment="1">
      <alignment horizontal="right" vertical="center" wrapText="1"/>
    </xf>
    <xf numFmtId="0" fontId="0" fillId="5" borderId="3" xfId="0" applyFill="1" applyBorder="1" applyAlignment="1">
      <alignment horizontal="left" vertical="center" wrapText="1"/>
    </xf>
    <xf numFmtId="0" fontId="16" fillId="5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21" fillId="4" borderId="10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8" fillId="5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/>
    </xf>
    <xf numFmtId="0" fontId="9" fillId="4" borderId="8" xfId="0" applyFont="1" applyFill="1" applyBorder="1"/>
    <xf numFmtId="0" fontId="0" fillId="4" borderId="8" xfId="0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165" fontId="17" fillId="3" borderId="3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64" fontId="7" fillId="5" borderId="3" xfId="1" applyFont="1" applyFill="1" applyBorder="1" applyAlignment="1">
      <alignment horizontal="center" vertical="center" wrapText="1"/>
    </xf>
    <xf numFmtId="0" fontId="7" fillId="5" borderId="3" xfId="1" applyNumberFormat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1" fillId="5" borderId="3" xfId="1" applyNumberFormat="1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left" vertical="center" wrapText="1"/>
    </xf>
    <xf numFmtId="0" fontId="25" fillId="5" borderId="3" xfId="1" applyNumberFormat="1" applyFont="1" applyFill="1" applyBorder="1" applyAlignment="1">
      <alignment horizontal="center" vertical="center" wrapText="1"/>
    </xf>
    <xf numFmtId="0" fontId="25" fillId="5" borderId="3" xfId="1" applyNumberFormat="1" applyFont="1" applyFill="1" applyBorder="1" applyAlignment="1">
      <alignment horizontal="left" vertical="center" wrapText="1"/>
    </xf>
    <xf numFmtId="0" fontId="26" fillId="5" borderId="3" xfId="0" applyFont="1" applyFill="1" applyBorder="1" applyAlignment="1">
      <alignment horizontal="left" vertical="center" wrapText="1"/>
    </xf>
    <xf numFmtId="0" fontId="18" fillId="4" borderId="10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horizontal="right" vertical="center" wrapText="1"/>
    </xf>
    <xf numFmtId="0" fontId="24" fillId="5" borderId="3" xfId="0" applyFont="1" applyFill="1" applyBorder="1" applyAlignment="1">
      <alignment horizontal="right" vertical="center" wrapText="1"/>
    </xf>
    <xf numFmtId="0" fontId="10" fillId="5" borderId="10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21" fillId="4" borderId="10" xfId="0" applyFont="1" applyFill="1" applyBorder="1"/>
    <xf numFmtId="0" fontId="5" fillId="5" borderId="3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horizontal="right" vertical="center" wrapText="1"/>
    </xf>
    <xf numFmtId="2" fontId="8" fillId="5" borderId="3" xfId="0" applyNumberFormat="1" applyFont="1" applyFill="1" applyBorder="1" applyAlignment="1">
      <alignment horizontal="right" vertical="center" wrapText="1"/>
    </xf>
    <xf numFmtId="1" fontId="8" fillId="5" borderId="3" xfId="0" applyNumberFormat="1" applyFont="1" applyFill="1" applyBorder="1" applyAlignment="1">
      <alignment horizontal="center" vertical="center" wrapText="1"/>
    </xf>
    <xf numFmtId="2" fontId="10" fillId="5" borderId="3" xfId="0" applyNumberFormat="1" applyFont="1" applyFill="1" applyBorder="1" applyAlignment="1">
      <alignment horizontal="center" vertical="center"/>
    </xf>
    <xf numFmtId="1" fontId="25" fillId="5" borderId="3" xfId="1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2" fontId="8" fillId="5" borderId="3" xfId="0" applyNumberFormat="1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vertical="center" wrapText="1"/>
    </xf>
    <xf numFmtId="0" fontId="19" fillId="5" borderId="7" xfId="0" applyFont="1" applyFill="1" applyBorder="1" applyAlignment="1">
      <alignment vertical="center" wrapText="1"/>
    </xf>
    <xf numFmtId="0" fontId="0" fillId="5" borderId="4" xfId="0" applyFill="1" applyBorder="1" applyAlignment="1" applyProtection="1">
      <alignment vertical="center" wrapText="1"/>
      <protection locked="0"/>
    </xf>
    <xf numFmtId="1" fontId="27" fillId="5" borderId="3" xfId="0" applyNumberFormat="1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8" fillId="5" borderId="10" xfId="0" applyFont="1" applyFill="1" applyBorder="1" applyAlignment="1" applyProtection="1">
      <alignment vertical="center" wrapText="1"/>
      <protection locked="0"/>
    </xf>
    <xf numFmtId="0" fontId="4" fillId="5" borderId="10" xfId="0" applyFont="1" applyFill="1" applyBorder="1" applyAlignment="1" applyProtection="1">
      <alignment vertical="center" wrapText="1"/>
      <protection locked="0"/>
    </xf>
    <xf numFmtId="0" fontId="8" fillId="5" borderId="11" xfId="0" applyFont="1" applyFill="1" applyBorder="1" applyAlignment="1" applyProtection="1">
      <alignment vertical="center" wrapText="1"/>
      <protection locked="0"/>
    </xf>
    <xf numFmtId="0" fontId="3" fillId="5" borderId="11" xfId="0" applyFont="1" applyFill="1" applyBorder="1" applyAlignment="1" applyProtection="1">
      <alignment vertical="center" wrapText="1"/>
      <protection locked="0"/>
    </xf>
    <xf numFmtId="0" fontId="21" fillId="4" borderId="9" xfId="0" applyFont="1" applyFill="1" applyBorder="1" applyAlignment="1" applyProtection="1">
      <alignment vertical="center" wrapText="1"/>
      <protection locked="0"/>
    </xf>
    <xf numFmtId="0" fontId="23" fillId="4" borderId="7" xfId="0" applyFont="1" applyFill="1" applyBorder="1" applyAlignment="1" applyProtection="1">
      <alignment vertical="center" wrapText="1"/>
      <protection locked="0"/>
    </xf>
    <xf numFmtId="0" fontId="23" fillId="4" borderId="15" xfId="0" applyFont="1" applyFill="1" applyBorder="1" applyAlignment="1" applyProtection="1">
      <alignment vertical="center" wrapText="1"/>
      <protection locked="0"/>
    </xf>
    <xf numFmtId="0" fontId="0" fillId="5" borderId="8" xfId="0" applyFill="1" applyBorder="1" applyAlignment="1" applyProtection="1">
      <alignment vertical="center" wrapText="1"/>
      <protection locked="0"/>
    </xf>
    <xf numFmtId="0" fontId="26" fillId="5" borderId="8" xfId="0" applyFont="1" applyFill="1" applyBorder="1" applyAlignment="1" applyProtection="1">
      <alignment vertical="center" wrapText="1"/>
      <protection locked="0"/>
    </xf>
    <xf numFmtId="0" fontId="0" fillId="5" borderId="16" xfId="0" applyFill="1" applyBorder="1" applyAlignment="1" applyProtection="1">
      <alignment vertical="center" wrapText="1"/>
      <protection locked="0"/>
    </xf>
    <xf numFmtId="0" fontId="5" fillId="5" borderId="17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vertical="center" wrapText="1"/>
    </xf>
    <xf numFmtId="0" fontId="5" fillId="5" borderId="19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15" fillId="4" borderId="0" xfId="0" applyFont="1" applyFill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vertical="center" wrapText="1"/>
    </xf>
    <xf numFmtId="2" fontId="8" fillId="5" borderId="3" xfId="0" applyNumberFormat="1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164" fontId="8" fillId="5" borderId="3" xfId="0" applyNumberFormat="1" applyFont="1" applyFill="1" applyBorder="1" applyAlignment="1">
      <alignment wrapText="1"/>
    </xf>
    <xf numFmtId="0" fontId="26" fillId="5" borderId="20" xfId="0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3" fillId="5" borderId="24" xfId="0" applyFont="1" applyFill="1" applyBorder="1" applyAlignment="1">
      <alignment horizontal="center"/>
    </xf>
    <xf numFmtId="0" fontId="31" fillId="5" borderId="10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2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vertical="center" wrapText="1"/>
    </xf>
    <xf numFmtId="0" fontId="21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vertical="center"/>
    </xf>
    <xf numFmtId="0" fontId="21" fillId="4" borderId="0" xfId="0" applyFont="1" applyFill="1"/>
    <xf numFmtId="0" fontId="21" fillId="4" borderId="0" xfId="0" applyFont="1" applyFill="1" applyAlignment="1">
      <alignment horizontal="center" vertical="center"/>
    </xf>
    <xf numFmtId="0" fontId="28" fillId="4" borderId="0" xfId="0" applyFont="1" applyFill="1"/>
    <xf numFmtId="0" fontId="27" fillId="5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7" fillId="4" borderId="0" xfId="0" applyFont="1" applyFill="1" applyAlignment="1">
      <alignment vertical="center" wrapText="1"/>
    </xf>
    <xf numFmtId="0" fontId="24" fillId="5" borderId="8" xfId="0" applyFont="1" applyFill="1" applyBorder="1" applyAlignment="1">
      <alignment horizontal="right" vertical="center" wrapText="1"/>
    </xf>
    <xf numFmtId="0" fontId="22" fillId="4" borderId="0" xfId="0" applyFont="1" applyFill="1" applyAlignment="1">
      <alignment horizontal="right" vertical="center" wrapText="1"/>
    </xf>
    <xf numFmtId="0" fontId="27" fillId="4" borderId="0" xfId="0" applyFont="1" applyFill="1" applyAlignment="1">
      <alignment horizontal="center" vertical="center" wrapText="1"/>
    </xf>
    <xf numFmtId="0" fontId="24" fillId="4" borderId="8" xfId="0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 wrapText="1"/>
    </xf>
    <xf numFmtId="0" fontId="24" fillId="5" borderId="8" xfId="0" applyFont="1" applyFill="1" applyBorder="1" applyAlignment="1">
      <alignment vertical="center" wrapText="1"/>
    </xf>
    <xf numFmtId="0" fontId="14" fillId="4" borderId="0" xfId="0" applyFont="1" applyFill="1" applyAlignment="1">
      <alignment horizontal="center" vertical="center" wrapText="1"/>
    </xf>
    <xf numFmtId="0" fontId="20" fillId="4" borderId="8" xfId="0" applyFont="1" applyFill="1" applyBorder="1" applyAlignment="1">
      <alignment vertical="center" wrapText="1"/>
    </xf>
    <xf numFmtId="164" fontId="8" fillId="5" borderId="0" xfId="0" applyNumberFormat="1" applyFont="1" applyFill="1" applyAlignment="1">
      <alignment wrapText="1"/>
    </xf>
    <xf numFmtId="0" fontId="0" fillId="5" borderId="0" xfId="0" applyFill="1" applyAlignment="1" applyProtection="1">
      <alignment vertical="center" wrapText="1"/>
      <protection locked="0"/>
    </xf>
    <xf numFmtId="0" fontId="26" fillId="5" borderId="0" xfId="0" applyFont="1" applyFill="1" applyAlignment="1" applyProtection="1">
      <alignment vertical="center" wrapText="1"/>
      <protection locked="0"/>
    </xf>
    <xf numFmtId="0" fontId="32" fillId="4" borderId="0" xfId="0" applyFont="1" applyFill="1" applyAlignment="1">
      <alignment horizontal="center" vertical="center" wrapText="1"/>
    </xf>
    <xf numFmtId="0" fontId="33" fillId="5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/>
    </xf>
    <xf numFmtId="0" fontId="34" fillId="3" borderId="3" xfId="0" applyFont="1" applyFill="1" applyBorder="1" applyAlignment="1">
      <alignment horizontal="center" vertical="center" wrapText="1"/>
    </xf>
    <xf numFmtId="1" fontId="34" fillId="5" borderId="3" xfId="0" applyNumberFormat="1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5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164" fontId="31" fillId="5" borderId="0" xfId="0" applyNumberFormat="1" applyFont="1" applyFill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vertical="center"/>
    </xf>
    <xf numFmtId="0" fontId="18" fillId="4" borderId="10" xfId="0" applyFont="1" applyFill="1" applyBorder="1" applyAlignment="1">
      <alignment horizontal="left" vertical="center" wrapText="1"/>
    </xf>
    <xf numFmtId="0" fontId="18" fillId="4" borderId="0" xfId="0" applyFont="1" applyFill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5" borderId="20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684887</xdr:colOff>
      <xdr:row>0</xdr:row>
      <xdr:rowOff>106561</xdr:rowOff>
    </xdr:from>
    <xdr:to>
      <xdr:col>1</xdr:col>
      <xdr:colOff>2972049</xdr:colOff>
      <xdr:row>5</xdr:row>
      <xdr:rowOff>84233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0005" y="106561"/>
          <a:ext cx="2287162" cy="1143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17"/>
  <sheetViews>
    <sheetView tabSelected="1" topLeftCell="B40" zoomScaleNormal="100" workbookViewId="0">
      <selection activeCell="B57" sqref="B57"/>
    </sheetView>
  </sheetViews>
  <sheetFormatPr defaultColWidth="9.140625" defaultRowHeight="14.45"/>
  <cols>
    <col min="1" max="1" width="9.140625" style="1"/>
    <col min="2" max="2" width="86.42578125" style="1" bestFit="1" customWidth="1"/>
    <col min="3" max="3" width="17.140625" style="4" customWidth="1"/>
    <col min="4" max="4" width="7.140625" style="4" bestFit="1" customWidth="1"/>
    <col min="5" max="5" width="13.42578125" style="4" customWidth="1"/>
    <col min="6" max="6" width="18.5703125" style="1" bestFit="1" customWidth="1"/>
    <col min="7" max="8" width="17" style="1" customWidth="1"/>
    <col min="9" max="9" width="16.85546875" style="1" hidden="1" customWidth="1"/>
    <col min="10" max="10" width="10.42578125" style="1" hidden="1" customWidth="1"/>
    <col min="11" max="13" width="13.140625" style="1" customWidth="1"/>
    <col min="14" max="14" width="58.42578125" style="1" customWidth="1"/>
    <col min="15" max="15" width="31.28515625" style="1" bestFit="1" customWidth="1"/>
    <col min="16" max="16" width="6.7109375" style="1" bestFit="1" customWidth="1"/>
    <col min="17" max="16384" width="9.140625" style="1"/>
  </cols>
  <sheetData>
    <row r="1" spans="1:26" ht="15.6" customHeight="1">
      <c r="A1" s="22"/>
      <c r="B1" s="153"/>
      <c r="C1" s="143" t="s">
        <v>0</v>
      </c>
      <c r="D1" s="143"/>
      <c r="E1" s="143"/>
      <c r="F1" s="143"/>
      <c r="G1" s="143"/>
      <c r="H1" s="143"/>
      <c r="I1" s="143"/>
      <c r="J1" s="143"/>
      <c r="K1" s="143"/>
      <c r="L1" s="77"/>
      <c r="M1" s="77"/>
      <c r="N1" s="85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4.45" customHeight="1">
      <c r="A2" s="22"/>
      <c r="B2" s="154"/>
      <c r="C2" s="144"/>
      <c r="D2" s="144"/>
      <c r="E2" s="144"/>
      <c r="F2" s="144"/>
      <c r="G2" s="144"/>
      <c r="H2" s="144"/>
      <c r="I2" s="144"/>
      <c r="J2" s="144"/>
      <c r="K2" s="144"/>
      <c r="L2" s="77"/>
      <c r="M2" s="77"/>
      <c r="N2" s="85"/>
      <c r="O2" s="133" t="s">
        <v>1</v>
      </c>
      <c r="P2" s="133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30.75" customHeight="1">
      <c r="A3" s="22"/>
      <c r="B3" s="154"/>
      <c r="C3" s="145" t="s">
        <v>2</v>
      </c>
      <c r="D3" s="146"/>
      <c r="E3" s="146"/>
      <c r="F3" s="146"/>
      <c r="G3" s="146"/>
      <c r="H3" s="146"/>
      <c r="I3" s="146"/>
      <c r="J3" s="146"/>
      <c r="K3" s="146"/>
      <c r="L3" s="86"/>
      <c r="M3" s="86"/>
      <c r="N3" s="84"/>
      <c r="O3" s="9" t="s">
        <v>3</v>
      </c>
      <c r="P3" s="26" t="s">
        <v>4</v>
      </c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4.45" customHeight="1">
      <c r="A4" s="22"/>
      <c r="B4" s="154"/>
      <c r="C4" s="147" t="s">
        <v>5</v>
      </c>
      <c r="D4" s="148"/>
      <c r="E4" s="148"/>
      <c r="F4" s="148"/>
      <c r="G4" s="148"/>
      <c r="H4" s="148"/>
      <c r="I4" s="148"/>
      <c r="J4" s="148"/>
      <c r="K4" s="148"/>
      <c r="L4" s="78"/>
      <c r="M4" s="78"/>
      <c r="N4" s="83"/>
      <c r="O4" s="9" t="s">
        <v>6</v>
      </c>
      <c r="P4" s="26" t="s">
        <v>7</v>
      </c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" customHeight="1">
      <c r="A5" s="22"/>
      <c r="B5" s="154"/>
      <c r="C5" s="147" t="s">
        <v>8</v>
      </c>
      <c r="D5" s="148"/>
      <c r="E5" s="148"/>
      <c r="F5" s="148"/>
      <c r="G5" s="148"/>
      <c r="H5" s="148"/>
      <c r="I5" s="148"/>
      <c r="J5" s="148"/>
      <c r="K5" s="148"/>
      <c r="L5" s="78"/>
      <c r="M5" s="78"/>
      <c r="N5" s="83"/>
      <c r="O5" s="9" t="s">
        <v>9</v>
      </c>
      <c r="P5" s="27">
        <v>90</v>
      </c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8.75" customHeight="1">
      <c r="A6" s="22"/>
      <c r="B6" s="155"/>
      <c r="C6" s="149" t="s">
        <v>10</v>
      </c>
      <c r="D6" s="150"/>
      <c r="E6" s="150"/>
      <c r="F6" s="150"/>
      <c r="G6" s="150"/>
      <c r="H6" s="150"/>
      <c r="I6" s="150"/>
      <c r="J6" s="150"/>
      <c r="K6" s="150"/>
      <c r="L6" s="83"/>
      <c r="M6" s="83"/>
      <c r="N6" s="83"/>
      <c r="O6" s="30" t="s">
        <v>11</v>
      </c>
      <c r="P6" s="49">
        <v>7.5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>
      <c r="A7" s="22"/>
      <c r="B7" s="79" t="s">
        <v>12</v>
      </c>
      <c r="C7" s="71" t="s">
        <v>13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3"/>
      <c r="O7" s="30" t="s">
        <v>14</v>
      </c>
      <c r="P7" s="31">
        <v>7.5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22"/>
      <c r="B8" s="8" t="s">
        <v>15</v>
      </c>
      <c r="C8" s="74" t="s">
        <v>16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6"/>
      <c r="O8" s="28" t="s">
        <v>17</v>
      </c>
      <c r="P8" s="29">
        <v>12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6.25" customHeight="1">
      <c r="A9" s="22"/>
      <c r="B9" s="8" t="s">
        <v>18</v>
      </c>
      <c r="C9" s="134" t="s">
        <v>19</v>
      </c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6"/>
      <c r="O9" s="32"/>
      <c r="P9" s="31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22"/>
      <c r="B10" s="8" t="s">
        <v>18</v>
      </c>
      <c r="C10" s="134" t="s">
        <v>20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6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31.5" customHeight="1">
      <c r="A11" s="22"/>
      <c r="B11" s="52" t="s">
        <v>21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8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6" ht="46.5">
      <c r="A12" s="22"/>
      <c r="B12" s="34" t="s">
        <v>22</v>
      </c>
      <c r="C12" s="89" t="s">
        <v>23</v>
      </c>
      <c r="D12" s="89" t="s">
        <v>24</v>
      </c>
      <c r="E12" s="89" t="s">
        <v>25</v>
      </c>
      <c r="F12" s="89" t="s">
        <v>26</v>
      </c>
      <c r="G12" s="89" t="s">
        <v>27</v>
      </c>
      <c r="H12" s="89" t="s">
        <v>28</v>
      </c>
      <c r="I12" s="90" t="s">
        <v>29</v>
      </c>
      <c r="J12" s="90" t="s">
        <v>28</v>
      </c>
      <c r="K12" s="89" t="s">
        <v>30</v>
      </c>
      <c r="L12" s="89" t="s">
        <v>31</v>
      </c>
      <c r="M12" s="89" t="s">
        <v>32</v>
      </c>
      <c r="N12" s="10" t="s">
        <v>33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6" ht="15.6">
      <c r="A13" s="22"/>
      <c r="B13" s="87" t="s">
        <v>34</v>
      </c>
      <c r="C13" s="91"/>
      <c r="D13" s="91"/>
      <c r="E13" s="131" t="str">
        <f>P4</f>
        <v>INR</v>
      </c>
      <c r="F13" s="92"/>
      <c r="G13" s="92"/>
      <c r="H13" s="92"/>
      <c r="I13" s="93"/>
      <c r="J13" s="93"/>
      <c r="K13" s="94"/>
      <c r="L13" s="94"/>
      <c r="M13" s="94"/>
      <c r="N13" s="1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6" ht="15.6">
      <c r="A14" s="22"/>
      <c r="B14" s="13" t="s">
        <v>35</v>
      </c>
      <c r="C14" s="96"/>
      <c r="D14" s="96"/>
      <c r="E14" s="96"/>
      <c r="F14" s="95"/>
      <c r="G14" s="95"/>
      <c r="H14" s="95"/>
      <c r="I14" s="97"/>
      <c r="J14" s="97"/>
      <c r="K14" s="96"/>
      <c r="L14" s="96"/>
      <c r="M14" s="96"/>
      <c r="N14" s="14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6" ht="43.5">
      <c r="A15" s="22"/>
      <c r="B15" s="35" t="s">
        <v>36</v>
      </c>
      <c r="C15" s="5" t="s">
        <v>37</v>
      </c>
      <c r="D15" s="5">
        <v>1.75</v>
      </c>
      <c r="E15" s="47">
        <f>D15*$P$5</f>
        <v>157.5</v>
      </c>
      <c r="F15" s="5">
        <v>10</v>
      </c>
      <c r="G15" s="47">
        <f>(E15-(E15*5%))*12</f>
        <v>1795.5</v>
      </c>
      <c r="H15" s="47">
        <f>G15*F15</f>
        <v>17955</v>
      </c>
      <c r="I15" s="55">
        <f>E15*12</f>
        <v>1890</v>
      </c>
      <c r="J15" s="55">
        <f>I15*F15</f>
        <v>18900</v>
      </c>
      <c r="K15" s="5" t="str">
        <f>IF($P$8=1,"Monthly",IF($P$8=3,"Quarterly",IF($P$8=6,"Half Yearly",IF($P$8=12,"Annually"))))</f>
        <v>Annually</v>
      </c>
      <c r="L15" s="5">
        <f>E15*92%</f>
        <v>144.9</v>
      </c>
      <c r="M15" s="126">
        <f>H15*92%</f>
        <v>16518.600000000002</v>
      </c>
      <c r="N15" s="33" t="s">
        <v>38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6" ht="29.1">
      <c r="A16" s="22"/>
      <c r="B16" s="35" t="s">
        <v>39</v>
      </c>
      <c r="C16" s="5" t="s">
        <v>37</v>
      </c>
      <c r="D16" s="5">
        <v>9.1</v>
      </c>
      <c r="E16" s="47">
        <f>D16*$P$5</f>
        <v>819</v>
      </c>
      <c r="F16" s="5">
        <v>1</v>
      </c>
      <c r="G16" s="47">
        <f>(E16-(E16*5%))*12</f>
        <v>9336.5999999999985</v>
      </c>
      <c r="H16" s="47">
        <f>G16*F16</f>
        <v>9336.5999999999985</v>
      </c>
      <c r="I16" s="55">
        <f>E16*12</f>
        <v>9828</v>
      </c>
      <c r="J16" s="55">
        <f t="shared" ref="J16:J18" si="0">I16*F16</f>
        <v>9828</v>
      </c>
      <c r="K16" s="5" t="str">
        <f>IF($P$8=1,"Monthly",IF($P$8=3,"Quarterly",IF($P$8=6,"Half Yearly",IF($P$8=12,"Annually"))))</f>
        <v>Annually</v>
      </c>
      <c r="L16" s="5"/>
      <c r="M16" s="127"/>
      <c r="N16" s="33" t="s">
        <v>40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43.5">
      <c r="A17" s="22"/>
      <c r="B17" s="35" t="s">
        <v>41</v>
      </c>
      <c r="C17" s="5" t="s">
        <v>37</v>
      </c>
      <c r="D17" s="5">
        <v>21.7</v>
      </c>
      <c r="E17" s="47">
        <f>D17*$P$5</f>
        <v>1953</v>
      </c>
      <c r="F17" s="5">
        <v>0</v>
      </c>
      <c r="G17" s="47">
        <f>(E17-(E17*5%))*12</f>
        <v>22264.199999999997</v>
      </c>
      <c r="H17" s="47">
        <f>G17*F17</f>
        <v>0</v>
      </c>
      <c r="I17" s="55">
        <f>E17*12</f>
        <v>23436</v>
      </c>
      <c r="J17" s="55">
        <f>I17*F17</f>
        <v>0</v>
      </c>
      <c r="K17" s="5" t="str">
        <f>IF($P$8=1,"Monthly",IF($P$8=3,"Quarterly",IF($P$8=6,"Half Yearly",IF($P$8=12,"Annually"))))</f>
        <v>Annually</v>
      </c>
      <c r="L17" s="5"/>
      <c r="M17" s="127"/>
      <c r="N17" s="33" t="s">
        <v>42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29.1">
      <c r="A18" s="22"/>
      <c r="B18" s="35" t="s">
        <v>43</v>
      </c>
      <c r="C18" s="5" t="s">
        <v>37</v>
      </c>
      <c r="D18" s="5">
        <v>9.1</v>
      </c>
      <c r="E18" s="47">
        <f>D18*$P$5</f>
        <v>819</v>
      </c>
      <c r="F18" s="5">
        <v>0</v>
      </c>
      <c r="G18" s="47">
        <f>(E18-(E18*5%))*12</f>
        <v>9336.5999999999985</v>
      </c>
      <c r="H18" s="47">
        <f t="shared" ref="H18:H24" si="1">G18*F18</f>
        <v>0</v>
      </c>
      <c r="I18" s="55">
        <f>E18*12</f>
        <v>9828</v>
      </c>
      <c r="J18" s="55">
        <f t="shared" si="0"/>
        <v>0</v>
      </c>
      <c r="K18" s="5" t="str">
        <f>IF($P$8=1,"Monthly",IF($P$8=3,"Quarterly",IF($P$8=6,"Half Yearly",IF($P$8=12,"Annually"))))</f>
        <v>Annually</v>
      </c>
      <c r="L18" s="5"/>
      <c r="M18" s="127"/>
      <c r="N18" s="33" t="s">
        <v>44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>
      <c r="A19" s="22"/>
      <c r="B19" s="98"/>
      <c r="C19" s="1"/>
      <c r="D19" s="1"/>
      <c r="E19" s="1"/>
      <c r="M19" s="128"/>
      <c r="N19" s="99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5.6">
      <c r="A20" s="22"/>
      <c r="B20" s="13" t="s">
        <v>45</v>
      </c>
      <c r="C20" s="96"/>
      <c r="D20" s="96"/>
      <c r="E20" s="96"/>
      <c r="F20" s="95"/>
      <c r="G20" s="95"/>
      <c r="H20" s="95"/>
      <c r="I20" s="97"/>
      <c r="J20" s="97"/>
      <c r="K20" s="96"/>
      <c r="L20" s="96"/>
      <c r="M20" s="122"/>
      <c r="N20" s="14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29.1">
      <c r="A21" s="22"/>
      <c r="B21" s="35" t="s">
        <v>46</v>
      </c>
      <c r="C21" s="5" t="s">
        <v>37</v>
      </c>
      <c r="D21" s="51">
        <v>43.5</v>
      </c>
      <c r="E21" s="47">
        <f>D21*$P$5</f>
        <v>3915</v>
      </c>
      <c r="F21" s="5">
        <v>0</v>
      </c>
      <c r="G21" s="47">
        <f t="shared" ref="G21:G24" si="2">(E21-(E21*10%))*12</f>
        <v>42282</v>
      </c>
      <c r="H21" s="47">
        <f t="shared" si="1"/>
        <v>0</v>
      </c>
      <c r="I21" s="55">
        <f t="shared" ref="I21:I24" si="3">E21*12</f>
        <v>46980</v>
      </c>
      <c r="J21" s="55"/>
      <c r="K21" s="5" t="str">
        <f>IF($P$8=1,"Monthly",IF($P$8=3,"Quarterly",IF($P$8=6,"Half Yearly",IF($P$8=12,"Annually"))))</f>
        <v>Annually</v>
      </c>
      <c r="L21" s="5"/>
      <c r="M21" s="127"/>
      <c r="N21" s="132" t="s">
        <v>47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29.1">
      <c r="A22" s="22"/>
      <c r="B22" s="35" t="s">
        <v>48</v>
      </c>
      <c r="C22" s="5" t="s">
        <v>37</v>
      </c>
      <c r="D22" s="51">
        <v>15</v>
      </c>
      <c r="E22" s="47">
        <f>D22*$P$5</f>
        <v>1350</v>
      </c>
      <c r="F22" s="5">
        <v>0</v>
      </c>
      <c r="G22" s="47">
        <f t="shared" si="2"/>
        <v>14580</v>
      </c>
      <c r="H22" s="47">
        <f t="shared" si="1"/>
        <v>0</v>
      </c>
      <c r="I22" s="55">
        <f t="shared" si="3"/>
        <v>16200</v>
      </c>
      <c r="J22" s="55"/>
      <c r="K22" s="5" t="str">
        <f>IF($P$8=1,"Monthly",IF($P$8=3,"Quarterly",IF($P$8=6,"Half Yearly",IF($P$8=12,"Annually"))))</f>
        <v>Annually</v>
      </c>
      <c r="L22" s="5"/>
      <c r="M22" s="127"/>
      <c r="N22" s="7" t="s">
        <v>49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29.1">
      <c r="A23" s="22"/>
      <c r="B23" s="39" t="s">
        <v>50</v>
      </c>
      <c r="C23" s="5" t="s">
        <v>37</v>
      </c>
      <c r="D23" s="51">
        <v>28</v>
      </c>
      <c r="E23" s="47">
        <f>D23*$P$5</f>
        <v>2520</v>
      </c>
      <c r="F23" s="5">
        <v>0</v>
      </c>
      <c r="G23" s="47">
        <f t="shared" si="2"/>
        <v>27216</v>
      </c>
      <c r="H23" s="47">
        <f t="shared" si="1"/>
        <v>0</v>
      </c>
      <c r="I23" s="55">
        <f t="shared" si="3"/>
        <v>30240</v>
      </c>
      <c r="J23" s="55"/>
      <c r="K23" s="5" t="str">
        <f>IF($P$8=1,"Monthly",IF($P$8=3,"Quarterly",IF($P$8=6,"Half Yearly",IF($P$8=12,"Annually"))))</f>
        <v>Annually</v>
      </c>
      <c r="L23" s="5"/>
      <c r="M23" s="127"/>
      <c r="N23" s="7" t="s">
        <v>51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29.1">
      <c r="A24" s="22"/>
      <c r="B24" s="35" t="s">
        <v>52</v>
      </c>
      <c r="C24" s="5" t="s">
        <v>37</v>
      </c>
      <c r="D24" s="51">
        <v>46</v>
      </c>
      <c r="E24" s="47">
        <f>D24*$P$5</f>
        <v>4140</v>
      </c>
      <c r="F24" s="5">
        <v>0</v>
      </c>
      <c r="G24" s="47">
        <f t="shared" si="2"/>
        <v>44712</v>
      </c>
      <c r="H24" s="47">
        <f t="shared" si="1"/>
        <v>0</v>
      </c>
      <c r="I24" s="55">
        <f t="shared" si="3"/>
        <v>49680</v>
      </c>
      <c r="J24" s="55"/>
      <c r="K24" s="5" t="str">
        <f>IF($P$8=1,"Monthly",IF($P$8=3,"Quarterly",IF($P$8=6,"Half Yearly",IF($P$8=12,"Annually"))))</f>
        <v>Annually</v>
      </c>
      <c r="L24" s="5"/>
      <c r="M24" s="127"/>
      <c r="N24" s="7" t="s">
        <v>53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5.6">
      <c r="A25" s="22"/>
      <c r="B25" s="11"/>
      <c r="C25" s="94"/>
      <c r="D25" s="94"/>
      <c r="E25" s="94"/>
      <c r="F25" s="92"/>
      <c r="G25" s="100"/>
      <c r="H25" s="100"/>
      <c r="I25" s="93"/>
      <c r="J25" s="93"/>
      <c r="K25" s="94"/>
      <c r="L25" s="94"/>
      <c r="M25" s="129"/>
      <c r="N25" s="16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5.6">
      <c r="A26" s="22"/>
      <c r="B26" s="13" t="s">
        <v>54</v>
      </c>
      <c r="C26" s="96"/>
      <c r="D26" s="96"/>
      <c r="E26" s="96"/>
      <c r="F26" s="95"/>
      <c r="G26" s="95"/>
      <c r="H26" s="95"/>
      <c r="I26" s="97"/>
      <c r="J26" s="97"/>
      <c r="K26" s="96"/>
      <c r="L26" s="96"/>
      <c r="M26" s="122"/>
      <c r="N26" s="14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5.6">
      <c r="A27" s="22"/>
      <c r="B27" s="40" t="s">
        <v>55</v>
      </c>
      <c r="C27" s="5" t="s">
        <v>37</v>
      </c>
      <c r="D27" s="51">
        <v>18.082191780821919</v>
      </c>
      <c r="E27" s="47">
        <f t="shared" ref="E27:E30" si="4">D27*$P$5</f>
        <v>1627.3972602739727</v>
      </c>
      <c r="F27" s="5">
        <v>0</v>
      </c>
      <c r="G27" s="47">
        <f>E27*12</f>
        <v>19528.767123287675</v>
      </c>
      <c r="H27" s="47">
        <f t="shared" ref="H27:H30" si="5">G27*F27</f>
        <v>0</v>
      </c>
      <c r="I27" s="55">
        <f t="shared" ref="I27:I30" si="6">E27*12</f>
        <v>19528.767123287675</v>
      </c>
      <c r="J27" s="56"/>
      <c r="K27" s="5" t="str">
        <f>IF($P$8=1,"Monthly",IF($P$8=3,"Quarterly",IF($P$8=6,"Half Yearly",IF($P$8=12,"Annually"))))</f>
        <v>Annually</v>
      </c>
      <c r="L27" s="5"/>
      <c r="M27" s="127"/>
      <c r="N27" s="7" t="s">
        <v>56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.6">
      <c r="A28" s="22"/>
      <c r="B28" s="41" t="s">
        <v>57</v>
      </c>
      <c r="C28" s="5" t="s">
        <v>37</v>
      </c>
      <c r="D28" s="51">
        <v>39</v>
      </c>
      <c r="E28" s="47">
        <f t="shared" si="4"/>
        <v>3510</v>
      </c>
      <c r="F28" s="5">
        <v>0</v>
      </c>
      <c r="G28" s="47">
        <f>E28*12</f>
        <v>42120</v>
      </c>
      <c r="H28" s="47">
        <f t="shared" si="5"/>
        <v>0</v>
      </c>
      <c r="I28" s="55">
        <f t="shared" si="6"/>
        <v>42120</v>
      </c>
      <c r="J28" s="56"/>
      <c r="K28" s="5" t="str">
        <f>IF($P$8=1,"Monthly",IF($P$8=3,"Quarterly",IF($P$8=6,"Half Yearly",IF($P$8=12,"Annually"))))</f>
        <v>Annually</v>
      </c>
      <c r="L28" s="5"/>
      <c r="M28" s="127"/>
      <c r="N28" s="7" t="s">
        <v>58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.6">
      <c r="A29" s="22"/>
      <c r="B29" s="41" t="s">
        <v>59</v>
      </c>
      <c r="C29" s="5" t="s">
        <v>37</v>
      </c>
      <c r="D29" s="51">
        <v>54</v>
      </c>
      <c r="E29" s="47">
        <f t="shared" si="4"/>
        <v>4860</v>
      </c>
      <c r="F29" s="5">
        <v>0</v>
      </c>
      <c r="G29" s="47">
        <f>E29*12</f>
        <v>58320</v>
      </c>
      <c r="H29" s="47">
        <f t="shared" si="5"/>
        <v>0</v>
      </c>
      <c r="I29" s="55">
        <f t="shared" si="6"/>
        <v>58320</v>
      </c>
      <c r="J29" s="56"/>
      <c r="K29" s="5" t="str">
        <f>IF($P$8=1,"Monthly",IF($P$8=3,"Quarterly",IF($P$8=6,"Half Yearly",IF($P$8=12,"Annually"))))</f>
        <v>Annually</v>
      </c>
      <c r="L29" s="5"/>
      <c r="M29" s="127"/>
      <c r="N29" s="7" t="s">
        <v>60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.6">
      <c r="A30" s="22"/>
      <c r="B30" s="41" t="s">
        <v>61</v>
      </c>
      <c r="C30" s="5" t="s">
        <v>37</v>
      </c>
      <c r="D30" s="51">
        <v>9.0547945205479454</v>
      </c>
      <c r="E30" s="47">
        <f t="shared" si="4"/>
        <v>814.93150684931504</v>
      </c>
      <c r="F30" s="5">
        <v>0</v>
      </c>
      <c r="G30" s="47">
        <f>E30*12</f>
        <v>9779.17808219178</v>
      </c>
      <c r="H30" s="47">
        <f t="shared" si="5"/>
        <v>0</v>
      </c>
      <c r="I30" s="55">
        <f t="shared" si="6"/>
        <v>9779.17808219178</v>
      </c>
      <c r="J30" s="56"/>
      <c r="K30" s="5" t="str">
        <f>IF($P$8=1,"Monthly",IF($P$8=3,"Quarterly",IF($P$8=6,"Half Yearly",IF($P$8=12,"Annually"))))</f>
        <v>Annually</v>
      </c>
      <c r="L30" s="5"/>
      <c r="M30" s="127"/>
      <c r="N30" s="7" t="s">
        <v>62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5.6">
      <c r="A31" s="22"/>
      <c r="B31" s="11"/>
      <c r="C31" s="94"/>
      <c r="D31" s="94"/>
      <c r="E31" s="94"/>
      <c r="F31" s="92"/>
      <c r="G31" s="92"/>
      <c r="H31" s="92"/>
      <c r="I31" s="93"/>
      <c r="J31" s="93"/>
      <c r="K31" s="94"/>
      <c r="L31" s="94"/>
      <c r="M31" s="129"/>
      <c r="N31" s="15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.6">
      <c r="A32" s="22"/>
      <c r="B32" s="13" t="s">
        <v>63</v>
      </c>
      <c r="C32" s="96"/>
      <c r="D32" s="96"/>
      <c r="E32" s="96"/>
      <c r="F32" s="95"/>
      <c r="G32" s="95"/>
      <c r="H32" s="95"/>
      <c r="I32" s="97"/>
      <c r="J32" s="97"/>
      <c r="K32" s="96"/>
      <c r="L32" s="96"/>
      <c r="M32" s="122"/>
      <c r="N32" s="14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5.6">
      <c r="A33" s="22"/>
      <c r="B33" s="35" t="s">
        <v>64</v>
      </c>
      <c r="C33" s="5" t="s">
        <v>37</v>
      </c>
      <c r="D33" s="47">
        <v>1.75</v>
      </c>
      <c r="E33" s="47">
        <f t="shared" ref="E33:E34" si="7">D33*$P$5</f>
        <v>157.5</v>
      </c>
      <c r="F33" s="5">
        <v>0</v>
      </c>
      <c r="G33" s="47">
        <f t="shared" ref="G33:G41" si="8">E33*12</f>
        <v>1890</v>
      </c>
      <c r="H33" s="47">
        <f t="shared" ref="H33:H43" si="9">G33*F33</f>
        <v>0</v>
      </c>
      <c r="I33" s="55">
        <f t="shared" ref="I33:I43" si="10">E33*12</f>
        <v>1890</v>
      </c>
      <c r="J33" s="56"/>
      <c r="K33" s="5" t="str">
        <f t="shared" ref="K33:K43" si="11">IF($P$8=1,"Monthly",IF($P$8=3,"Quarterly",IF($P$8=6,"Half Yearly",IF($P$8=12,"Annually"))))</f>
        <v>Annually</v>
      </c>
      <c r="L33" s="5"/>
      <c r="M33" s="127"/>
      <c r="N33" s="7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5.6">
      <c r="A34" s="22"/>
      <c r="B34" s="35" t="s">
        <v>65</v>
      </c>
      <c r="C34" s="5" t="s">
        <v>37</v>
      </c>
      <c r="D34" s="47">
        <v>4.25</v>
      </c>
      <c r="E34" s="47">
        <f t="shared" si="7"/>
        <v>382.5</v>
      </c>
      <c r="F34" s="5">
        <v>0</v>
      </c>
      <c r="G34" s="47">
        <f t="shared" si="8"/>
        <v>4590</v>
      </c>
      <c r="H34" s="47">
        <f t="shared" si="9"/>
        <v>0</v>
      </c>
      <c r="I34" s="55">
        <f t="shared" si="10"/>
        <v>4590</v>
      </c>
      <c r="J34" s="56"/>
      <c r="K34" s="5" t="str">
        <f t="shared" si="11"/>
        <v>Annually</v>
      </c>
      <c r="L34" s="5"/>
      <c r="M34" s="127"/>
      <c r="N34" s="7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5.6">
      <c r="A35" s="22"/>
      <c r="B35" s="35" t="s">
        <v>66</v>
      </c>
      <c r="C35" s="5" t="s">
        <v>37</v>
      </c>
      <c r="D35" s="47">
        <v>0.90547945205479441</v>
      </c>
      <c r="E35" s="47">
        <v>66.099999999999994</v>
      </c>
      <c r="F35" s="5">
        <v>0</v>
      </c>
      <c r="G35" s="47">
        <f t="shared" si="8"/>
        <v>793.19999999999993</v>
      </c>
      <c r="H35" s="47">
        <f t="shared" si="9"/>
        <v>0</v>
      </c>
      <c r="I35" s="55">
        <f t="shared" si="10"/>
        <v>793.19999999999993</v>
      </c>
      <c r="J35" s="56"/>
      <c r="K35" s="5" t="str">
        <f t="shared" si="11"/>
        <v>Annually</v>
      </c>
      <c r="L35" s="5"/>
      <c r="M35" s="127"/>
      <c r="N35" s="7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5.6">
      <c r="A36" s="22"/>
      <c r="B36" s="35" t="s">
        <v>67</v>
      </c>
      <c r="C36" s="5" t="s">
        <v>37</v>
      </c>
      <c r="D36" s="47">
        <v>5.4109589041095889</v>
      </c>
      <c r="E36" s="47">
        <v>395</v>
      </c>
      <c r="F36" s="5">
        <v>0</v>
      </c>
      <c r="G36" s="47">
        <f t="shared" si="8"/>
        <v>4740</v>
      </c>
      <c r="H36" s="47">
        <f t="shared" si="9"/>
        <v>0</v>
      </c>
      <c r="I36" s="55">
        <f t="shared" si="10"/>
        <v>4740</v>
      </c>
      <c r="J36" s="56"/>
      <c r="K36" s="5" t="str">
        <f t="shared" si="11"/>
        <v>Annually</v>
      </c>
      <c r="L36" s="5"/>
      <c r="M36" s="127"/>
      <c r="N36" s="7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5.6">
      <c r="A37" s="22"/>
      <c r="B37" s="35" t="s">
        <v>68</v>
      </c>
      <c r="C37" s="5" t="s">
        <v>37</v>
      </c>
      <c r="D37" s="47">
        <v>8.1493150684931503</v>
      </c>
      <c r="E37" s="47">
        <v>594.9</v>
      </c>
      <c r="F37" s="5">
        <v>0</v>
      </c>
      <c r="G37" s="47">
        <f t="shared" si="8"/>
        <v>7138.7999999999993</v>
      </c>
      <c r="H37" s="47">
        <f t="shared" si="9"/>
        <v>0</v>
      </c>
      <c r="I37" s="55">
        <f t="shared" si="10"/>
        <v>7138.7999999999993</v>
      </c>
      <c r="J37" s="56"/>
      <c r="K37" s="5" t="str">
        <f t="shared" si="11"/>
        <v>Annually</v>
      </c>
      <c r="L37" s="5"/>
      <c r="M37" s="127"/>
      <c r="N37" s="7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5.6">
      <c r="A38" s="22"/>
      <c r="B38" s="35" t="s">
        <v>69</v>
      </c>
      <c r="C38" s="5" t="s">
        <v>37</v>
      </c>
      <c r="D38" s="47">
        <v>4.9808219178082194</v>
      </c>
      <c r="E38" s="47">
        <v>363.6</v>
      </c>
      <c r="F38" s="5">
        <v>0</v>
      </c>
      <c r="G38" s="47">
        <f t="shared" si="8"/>
        <v>4363.2000000000007</v>
      </c>
      <c r="H38" s="47">
        <f t="shared" si="9"/>
        <v>0</v>
      </c>
      <c r="I38" s="55">
        <f t="shared" si="10"/>
        <v>4363.2000000000007</v>
      </c>
      <c r="J38" s="56"/>
      <c r="K38" s="5" t="str">
        <f t="shared" si="11"/>
        <v>Annually</v>
      </c>
      <c r="L38" s="5"/>
      <c r="M38" s="127"/>
      <c r="N38" s="7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5.6">
      <c r="A39" s="22"/>
      <c r="B39" s="35" t="s">
        <v>70</v>
      </c>
      <c r="C39" s="5" t="s">
        <v>37</v>
      </c>
      <c r="D39" s="47">
        <v>7.9452054794520546</v>
      </c>
      <c r="E39" s="47">
        <v>580</v>
      </c>
      <c r="F39" s="5">
        <v>0</v>
      </c>
      <c r="G39" s="47">
        <f t="shared" si="8"/>
        <v>6960</v>
      </c>
      <c r="H39" s="47">
        <f t="shared" si="9"/>
        <v>0</v>
      </c>
      <c r="I39" s="55">
        <f t="shared" si="10"/>
        <v>6960</v>
      </c>
      <c r="J39" s="56"/>
      <c r="K39" s="5" t="str">
        <f t="shared" si="11"/>
        <v>Annually</v>
      </c>
      <c r="L39" s="5"/>
      <c r="M39" s="127"/>
      <c r="N39" s="7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5.6">
      <c r="A40" s="22"/>
      <c r="B40" s="35" t="s">
        <v>71</v>
      </c>
      <c r="C40" s="5" t="s">
        <v>37</v>
      </c>
      <c r="D40" s="47">
        <v>13.379452054794521</v>
      </c>
      <c r="E40" s="47">
        <v>976.7</v>
      </c>
      <c r="F40" s="5">
        <v>0</v>
      </c>
      <c r="G40" s="47">
        <f t="shared" si="8"/>
        <v>11720.400000000001</v>
      </c>
      <c r="H40" s="47">
        <f t="shared" si="9"/>
        <v>0</v>
      </c>
      <c r="I40" s="55">
        <f t="shared" si="10"/>
        <v>11720.400000000001</v>
      </c>
      <c r="J40" s="56"/>
      <c r="K40" s="5" t="str">
        <f t="shared" si="11"/>
        <v>Annually</v>
      </c>
      <c r="L40" s="5"/>
      <c r="M40" s="127"/>
      <c r="N40" s="7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5.6">
      <c r="A41" s="22"/>
      <c r="B41" s="35" t="s">
        <v>72</v>
      </c>
      <c r="C41" s="5" t="s">
        <v>37</v>
      </c>
      <c r="D41" s="47">
        <v>1.7123287671232876</v>
      </c>
      <c r="E41" s="47">
        <v>125</v>
      </c>
      <c r="F41" s="5">
        <v>0</v>
      </c>
      <c r="G41" s="47">
        <f t="shared" si="8"/>
        <v>1500</v>
      </c>
      <c r="H41" s="47">
        <f t="shared" si="9"/>
        <v>0</v>
      </c>
      <c r="I41" s="55">
        <f t="shared" si="10"/>
        <v>1500</v>
      </c>
      <c r="J41" s="56"/>
      <c r="K41" s="5" t="str">
        <f t="shared" si="11"/>
        <v>Annually</v>
      </c>
      <c r="L41" s="5"/>
      <c r="M41" s="127"/>
      <c r="N41" s="7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5.6">
      <c r="A42" s="22"/>
      <c r="B42" s="35" t="s">
        <v>73</v>
      </c>
      <c r="C42" s="5" t="s">
        <v>37</v>
      </c>
      <c r="D42" s="47">
        <v>1.7123287671232876</v>
      </c>
      <c r="E42" s="47">
        <v>156</v>
      </c>
      <c r="F42" s="5">
        <v>0</v>
      </c>
      <c r="G42" s="47">
        <f>(E42-(E42*5%))*12</f>
        <v>1778.3999999999999</v>
      </c>
      <c r="H42" s="47">
        <f t="shared" si="9"/>
        <v>0</v>
      </c>
      <c r="I42" s="55">
        <f t="shared" si="10"/>
        <v>1872</v>
      </c>
      <c r="J42" s="56"/>
      <c r="K42" s="5" t="str">
        <f t="shared" si="11"/>
        <v>Annually</v>
      </c>
      <c r="L42" s="5"/>
      <c r="M42" s="127"/>
      <c r="N42" s="7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5.6">
      <c r="A43" s="22"/>
      <c r="B43" s="35" t="s">
        <v>74</v>
      </c>
      <c r="C43" s="5" t="s">
        <v>37</v>
      </c>
      <c r="D43" s="47">
        <v>1.7123287671232876</v>
      </c>
      <c r="E43" s="47">
        <v>156</v>
      </c>
      <c r="F43" s="5">
        <v>0</v>
      </c>
      <c r="G43" s="47">
        <f>(E43-(E43*5%))*12</f>
        <v>1778.3999999999999</v>
      </c>
      <c r="H43" s="47">
        <f t="shared" si="9"/>
        <v>0</v>
      </c>
      <c r="I43" s="55">
        <f t="shared" si="10"/>
        <v>1872</v>
      </c>
      <c r="J43" s="56"/>
      <c r="K43" s="5" t="str">
        <f t="shared" si="11"/>
        <v>Annually</v>
      </c>
      <c r="L43" s="5"/>
      <c r="M43" s="127"/>
      <c r="N43" s="7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s="3" customFormat="1" ht="15.75" customHeight="1">
      <c r="A44" s="23"/>
      <c r="B44" s="42"/>
      <c r="C44" s="101"/>
      <c r="D44" s="101"/>
      <c r="E44" s="102"/>
      <c r="F44" s="101"/>
      <c r="G44" s="101"/>
      <c r="H44" s="101"/>
      <c r="I44" s="103"/>
      <c r="J44" s="103"/>
      <c r="K44" s="101"/>
      <c r="L44" s="101"/>
      <c r="M44" s="123"/>
      <c r="N44" s="17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5.6">
      <c r="A45" s="22"/>
      <c r="B45" s="13" t="s">
        <v>75</v>
      </c>
      <c r="C45" s="96"/>
      <c r="D45" s="96"/>
      <c r="E45" s="96"/>
      <c r="F45" s="95"/>
      <c r="G45" s="95"/>
      <c r="H45" s="95"/>
      <c r="I45" s="97"/>
      <c r="J45" s="97"/>
      <c r="K45" s="96"/>
      <c r="L45" s="96"/>
      <c r="M45" s="122"/>
      <c r="N45" s="14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5.6">
      <c r="A46" s="22"/>
      <c r="B46" s="35" t="s">
        <v>76</v>
      </c>
      <c r="C46" s="5" t="s">
        <v>37</v>
      </c>
      <c r="D46" s="51">
        <v>4.07</v>
      </c>
      <c r="E46" s="47">
        <f t="shared" ref="E46:E50" si="12">D46*$P$5</f>
        <v>366.3</v>
      </c>
      <c r="F46" s="5">
        <v>0</v>
      </c>
      <c r="G46" s="47">
        <f>(E46-(E46*5%))*12</f>
        <v>4175.82</v>
      </c>
      <c r="H46" s="47">
        <f t="shared" ref="H46:H50" si="13">G46*F46</f>
        <v>0</v>
      </c>
      <c r="I46" s="55">
        <f t="shared" ref="I46:I50" si="14">E46*12</f>
        <v>4395.6000000000004</v>
      </c>
      <c r="J46" s="56"/>
      <c r="K46" s="5" t="str">
        <f>IF($P$8=1,"Monthly",IF($P$8=3,"Quarterly",IF($P$8=6,"Half Yearly",IF($P$8=12,"Annually"))))</f>
        <v>Annually</v>
      </c>
      <c r="L46" s="5"/>
      <c r="M46" s="127"/>
      <c r="N46" s="7" t="s">
        <v>77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5.95" customHeight="1">
      <c r="A47" s="22"/>
      <c r="B47" s="35" t="s">
        <v>78</v>
      </c>
      <c r="C47" s="5" t="s">
        <v>37</v>
      </c>
      <c r="D47" s="51">
        <v>7.6669999999999998</v>
      </c>
      <c r="E47" s="47">
        <f t="shared" si="12"/>
        <v>690.03</v>
      </c>
      <c r="F47" s="5">
        <v>0</v>
      </c>
      <c r="G47" s="47">
        <f>E47*12</f>
        <v>8280.36</v>
      </c>
      <c r="H47" s="47">
        <f t="shared" si="13"/>
        <v>0</v>
      </c>
      <c r="I47" s="55">
        <f t="shared" si="14"/>
        <v>8280.36</v>
      </c>
      <c r="J47" s="56"/>
      <c r="K47" s="5" t="str">
        <f>IF($P$8=1,"Monthly",IF($P$8=3,"Quarterly",IF($P$8=6,"Half Yearly",IF($P$8=12,"Annually"))))</f>
        <v>Annually</v>
      </c>
      <c r="L47" s="5"/>
      <c r="M47" s="127"/>
      <c r="N47" s="7" t="s">
        <v>79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5.6">
      <c r="A48" s="22"/>
      <c r="B48" s="35" t="s">
        <v>80</v>
      </c>
      <c r="C48" s="5" t="s">
        <v>37</v>
      </c>
      <c r="D48" s="51">
        <v>1.8109589041095888</v>
      </c>
      <c r="E48" s="47">
        <f t="shared" si="12"/>
        <v>162.98630136986299</v>
      </c>
      <c r="F48" s="5">
        <v>0</v>
      </c>
      <c r="G48" s="47">
        <f>E48*12</f>
        <v>1955.8356164383558</v>
      </c>
      <c r="H48" s="47">
        <f t="shared" si="13"/>
        <v>0</v>
      </c>
      <c r="I48" s="55">
        <f t="shared" si="14"/>
        <v>1955.8356164383558</v>
      </c>
      <c r="J48" s="56"/>
      <c r="K48" s="5" t="str">
        <f>IF($P$8=1,"Monthly",IF($P$8=3,"Quarterly",IF($P$8=6,"Half Yearly",IF($P$8=12,"Annually"))))</f>
        <v>Annually</v>
      </c>
      <c r="L48" s="5"/>
      <c r="M48" s="127"/>
      <c r="N48" s="7" t="s">
        <v>81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5.6">
      <c r="A49" s="22"/>
      <c r="B49" s="35" t="s">
        <v>82</v>
      </c>
      <c r="C49" s="5" t="s">
        <v>37</v>
      </c>
      <c r="D49" s="51">
        <v>2.7164383561643839</v>
      </c>
      <c r="E49" s="47">
        <f t="shared" si="12"/>
        <v>244.47945205479456</v>
      </c>
      <c r="F49" s="5">
        <v>0</v>
      </c>
      <c r="G49" s="47">
        <f>(E49-(E49*5%))*12</f>
        <v>2787.0657534246579</v>
      </c>
      <c r="H49" s="47">
        <f t="shared" si="13"/>
        <v>0</v>
      </c>
      <c r="I49" s="55">
        <f t="shared" si="14"/>
        <v>2933.7534246575347</v>
      </c>
      <c r="J49" s="56"/>
      <c r="K49" s="5" t="str">
        <f>IF($P$8=1,"Monthly",IF($P$8=3,"Quarterly",IF($P$8=6,"Half Yearly",IF($P$8=12,"Annually"))))</f>
        <v>Annually</v>
      </c>
      <c r="L49" s="5"/>
      <c r="M49" s="127"/>
      <c r="N49" s="7" t="s">
        <v>83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5.6">
      <c r="A50" s="22"/>
      <c r="B50" s="35" t="s">
        <v>84</v>
      </c>
      <c r="C50" s="5" t="s">
        <v>37</v>
      </c>
      <c r="D50" s="51">
        <v>0.90547945205479441</v>
      </c>
      <c r="E50" s="47">
        <f t="shared" si="12"/>
        <v>81.493150684931493</v>
      </c>
      <c r="F50" s="5">
        <v>0</v>
      </c>
      <c r="G50" s="47">
        <f>E50*12</f>
        <v>977.91780821917791</v>
      </c>
      <c r="H50" s="47">
        <f t="shared" si="13"/>
        <v>0</v>
      </c>
      <c r="I50" s="55">
        <f t="shared" si="14"/>
        <v>977.91780821917791</v>
      </c>
      <c r="J50" s="56"/>
      <c r="K50" s="5" t="str">
        <f>IF($P$8=1,"Monthly",IF($P$8=3,"Quarterly",IF($P$8=6,"Half Yearly",IF($P$8=12,"Annually"))))</f>
        <v>Annually</v>
      </c>
      <c r="L50" s="5"/>
      <c r="M50" s="127"/>
      <c r="N50" s="7" t="s">
        <v>85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s="2" customFormat="1" ht="15.6">
      <c r="A51" s="24"/>
      <c r="B51" s="11"/>
      <c r="C51" s="92"/>
      <c r="D51" s="92"/>
      <c r="E51" s="94"/>
      <c r="F51" s="92"/>
      <c r="G51" s="92"/>
      <c r="H51" s="92"/>
      <c r="I51" s="93"/>
      <c r="J51" s="93"/>
      <c r="K51" s="92"/>
      <c r="L51" s="92"/>
      <c r="M51" s="129"/>
      <c r="N51" s="16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5.6">
      <c r="A52" s="22"/>
      <c r="B52" s="43" t="s">
        <v>86</v>
      </c>
      <c r="C52" s="104"/>
      <c r="D52" s="104"/>
      <c r="E52" s="105"/>
      <c r="F52" s="104"/>
      <c r="G52" s="104"/>
      <c r="H52" s="104"/>
      <c r="I52" s="106"/>
      <c r="J52" s="106"/>
      <c r="K52" s="104"/>
      <c r="L52" s="104"/>
      <c r="M52" s="124"/>
      <c r="N52" s="18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5.6">
      <c r="A53" s="22"/>
      <c r="B53" s="35" t="s">
        <v>87</v>
      </c>
      <c r="C53" s="5" t="s">
        <v>88</v>
      </c>
      <c r="D53" s="51">
        <v>8.2191780821917804E-2</v>
      </c>
      <c r="E53" s="51">
        <f t="shared" ref="E53" si="15">D53*$P$5</f>
        <v>7.3972602739726021</v>
      </c>
      <c r="F53" s="5">
        <v>0</v>
      </c>
      <c r="G53" s="46">
        <f>E53*12</f>
        <v>88.767123287671225</v>
      </c>
      <c r="H53" s="47">
        <f t="shared" ref="H53" si="16">G53*F53</f>
        <v>0</v>
      </c>
      <c r="I53" s="55">
        <f>E53*12</f>
        <v>88.767123287671225</v>
      </c>
      <c r="J53" s="56"/>
      <c r="K53" s="5" t="str">
        <f>IF($P$8=1,"Monthly",IF($P$8=3,"Quarterly",IF($P$8=6,"Half Yearly",IF($P$8=12,"Annually"))))</f>
        <v>Annually</v>
      </c>
      <c r="L53" s="5"/>
      <c r="M53" s="127"/>
      <c r="N53" s="7" t="s">
        <v>89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5.6">
      <c r="A54" s="22"/>
      <c r="B54" s="38"/>
      <c r="C54" s="94"/>
      <c r="D54" s="94"/>
      <c r="E54" s="94"/>
      <c r="F54" s="94"/>
      <c r="G54" s="100"/>
      <c r="H54" s="100"/>
      <c r="I54" s="107"/>
      <c r="J54" s="107"/>
      <c r="K54" s="94"/>
      <c r="L54" s="94"/>
      <c r="M54" s="129"/>
      <c r="N54" s="15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5.6">
      <c r="A55" s="22"/>
      <c r="B55" s="13" t="s">
        <v>90</v>
      </c>
      <c r="C55" s="108"/>
      <c r="D55" s="108"/>
      <c r="E55" s="108"/>
      <c r="F55" s="109"/>
      <c r="G55" s="109"/>
      <c r="H55" s="109"/>
      <c r="I55" s="110"/>
      <c r="J55" s="110"/>
      <c r="K55" s="108"/>
      <c r="L55" s="108"/>
      <c r="M55" s="130"/>
      <c r="N55" s="19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27" customHeight="1">
      <c r="A56" s="22"/>
      <c r="B56" s="44" t="s">
        <v>91</v>
      </c>
      <c r="C56" s="5" t="s">
        <v>92</v>
      </c>
      <c r="D56" s="5">
        <v>2</v>
      </c>
      <c r="E56" s="5">
        <f t="shared" ref="E56:E57" si="17">D56*$P$5</f>
        <v>180</v>
      </c>
      <c r="F56" s="5">
        <v>0</v>
      </c>
      <c r="G56" s="36">
        <f>E56*12</f>
        <v>2160</v>
      </c>
      <c r="H56" s="47">
        <v>0</v>
      </c>
      <c r="I56" s="55">
        <f t="shared" ref="I56:I57" si="18">E56*12</f>
        <v>2160</v>
      </c>
      <c r="J56" s="56"/>
      <c r="K56" s="5" t="str">
        <f>IF($P$8=1,"Monthly",IF($P$8=3,"Quarterly",IF($P$8=6,"Half Yearly",IF($P$8=12,"Annually"))))</f>
        <v>Annually</v>
      </c>
      <c r="L56" s="5"/>
      <c r="M56" s="127"/>
      <c r="N56" s="7" t="s">
        <v>93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24" customHeight="1">
      <c r="A57" s="22"/>
      <c r="B57" s="44" t="s">
        <v>94</v>
      </c>
      <c r="C57" s="5" t="s">
        <v>92</v>
      </c>
      <c r="D57" s="5">
        <v>3</v>
      </c>
      <c r="E57" s="5">
        <f t="shared" si="17"/>
        <v>270</v>
      </c>
      <c r="F57" s="5">
        <v>0</v>
      </c>
      <c r="G57" s="36">
        <f>E57*12</f>
        <v>3240</v>
      </c>
      <c r="H57" s="47">
        <v>0</v>
      </c>
      <c r="I57" s="55">
        <f t="shared" si="18"/>
        <v>3240</v>
      </c>
      <c r="J57" s="56"/>
      <c r="K57" s="5" t="str">
        <f>IF($P$8=1,"Monthly",IF($P$8=3,"Quarterly",IF($P$8=6,"Half Yearly",IF($P$8=12,"Annually"))))</f>
        <v>Annually</v>
      </c>
      <c r="L57" s="5"/>
      <c r="M57" s="127"/>
      <c r="N57" s="7" t="s">
        <v>95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5.6">
      <c r="A58" s="22"/>
      <c r="B58" s="11"/>
      <c r="C58" s="94"/>
      <c r="D58" s="94"/>
      <c r="E58" s="94"/>
      <c r="F58" s="92"/>
      <c r="G58" s="92"/>
      <c r="H58" s="92"/>
      <c r="I58" s="93"/>
      <c r="J58" s="93"/>
      <c r="K58" s="94"/>
      <c r="L58" s="94"/>
      <c r="M58" s="129"/>
      <c r="N58" s="15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5.6">
      <c r="A59" s="22"/>
      <c r="B59" s="13" t="s">
        <v>96</v>
      </c>
      <c r="C59" s="96"/>
      <c r="D59" s="96"/>
      <c r="E59" s="96"/>
      <c r="F59" s="95"/>
      <c r="G59" s="95"/>
      <c r="H59" s="95"/>
      <c r="I59" s="97"/>
      <c r="J59" s="97"/>
      <c r="K59" s="96"/>
      <c r="L59" s="96"/>
      <c r="M59" s="122"/>
      <c r="N59" s="19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5.6">
      <c r="A60" s="22"/>
      <c r="B60" s="35" t="s">
        <v>97</v>
      </c>
      <c r="C60" s="5" t="s">
        <v>37</v>
      </c>
      <c r="D60" s="51">
        <v>0.73972602739726023</v>
      </c>
      <c r="E60" s="51">
        <f t="shared" ref="E60:E63" si="19">D60*$P$5</f>
        <v>66.575342465753423</v>
      </c>
      <c r="F60" s="5">
        <v>0</v>
      </c>
      <c r="G60" s="46">
        <f>E60*12</f>
        <v>798.90410958904113</v>
      </c>
      <c r="H60" s="47">
        <f t="shared" ref="H60:H63" si="20">G60*F60</f>
        <v>0</v>
      </c>
      <c r="I60" s="55">
        <f t="shared" ref="I60:I63" si="21">E60*12</f>
        <v>798.90410958904113</v>
      </c>
      <c r="J60" s="56"/>
      <c r="K60" s="5" t="str">
        <f>IF($P$8=1,"Monthly",IF($P$8=3,"Quarterly",IF($P$8=6,"Half Yearly",IF($P$8=12,"Annually"))))</f>
        <v>Annually</v>
      </c>
      <c r="L60" s="5"/>
      <c r="M60" s="127"/>
      <c r="N60" s="7" t="s">
        <v>98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5.6">
      <c r="A61" s="22"/>
      <c r="B61" s="35" t="s">
        <v>99</v>
      </c>
      <c r="C61" s="5" t="s">
        <v>37</v>
      </c>
      <c r="D61" s="51">
        <v>1.1404109589041096</v>
      </c>
      <c r="E61" s="51">
        <f t="shared" si="19"/>
        <v>102.63698630136986</v>
      </c>
      <c r="F61" s="5">
        <v>0</v>
      </c>
      <c r="G61" s="46">
        <f>E61*12</f>
        <v>1231.6438356164383</v>
      </c>
      <c r="H61" s="47">
        <f t="shared" si="20"/>
        <v>0</v>
      </c>
      <c r="I61" s="55">
        <f t="shared" si="21"/>
        <v>1231.6438356164383</v>
      </c>
      <c r="J61" s="56"/>
      <c r="K61" s="5" t="str">
        <f>IF($P$8=1,"Monthly",IF($P$8=3,"Quarterly",IF($P$8=6,"Half Yearly",IF($P$8=12,"Annually"))))</f>
        <v>Annually</v>
      </c>
      <c r="L61" s="5"/>
      <c r="M61" s="127"/>
      <c r="N61" s="7" t="s">
        <v>100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.6">
      <c r="A62" s="22"/>
      <c r="B62" s="35" t="s">
        <v>101</v>
      </c>
      <c r="C62" s="5" t="s">
        <v>37</v>
      </c>
      <c r="D62" s="51">
        <v>1.7123287671232876</v>
      </c>
      <c r="E62" s="51">
        <f t="shared" si="19"/>
        <v>154.10958904109589</v>
      </c>
      <c r="F62" s="5">
        <v>0</v>
      </c>
      <c r="G62" s="46">
        <f>E62*12</f>
        <v>1849.3150684931506</v>
      </c>
      <c r="H62" s="47">
        <f t="shared" si="20"/>
        <v>0</v>
      </c>
      <c r="I62" s="55">
        <f t="shared" si="21"/>
        <v>1849.3150684931506</v>
      </c>
      <c r="J62" s="56"/>
      <c r="K62" s="5" t="str">
        <f>IF($P$8=1,"Monthly",IF($P$8=3,"Quarterly",IF($P$8=6,"Half Yearly",IF($P$8=12,"Annually"))))</f>
        <v>Annually</v>
      </c>
      <c r="L62" s="5"/>
      <c r="M62" s="127"/>
      <c r="N62" s="7" t="s">
        <v>102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5.6">
      <c r="A63" s="22"/>
      <c r="B63" s="35" t="s">
        <v>103</v>
      </c>
      <c r="C63" s="5" t="s">
        <v>37</v>
      </c>
      <c r="D63" s="51">
        <v>0.3</v>
      </c>
      <c r="E63" s="51">
        <f t="shared" si="19"/>
        <v>27</v>
      </c>
      <c r="F63" s="5">
        <v>0</v>
      </c>
      <c r="G63" s="46">
        <f>E63*12</f>
        <v>324</v>
      </c>
      <c r="H63" s="47">
        <f t="shared" si="20"/>
        <v>0</v>
      </c>
      <c r="I63" s="55">
        <f t="shared" si="21"/>
        <v>324</v>
      </c>
      <c r="J63" s="56"/>
      <c r="K63" s="5" t="str">
        <f>IF($P$8=1,"Monthly",IF($P$8=3,"Quarterly",IF($P$8=6,"Half Yearly",IF($P$8=12,"Annually"))))</f>
        <v>Annually</v>
      </c>
      <c r="L63" s="5"/>
      <c r="M63" s="127"/>
      <c r="N63" s="7" t="s">
        <v>104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5.6">
      <c r="A64" s="22"/>
      <c r="B64" s="11"/>
      <c r="C64" s="94"/>
      <c r="D64" s="94"/>
      <c r="E64" s="94"/>
      <c r="F64" s="92"/>
      <c r="G64" s="92"/>
      <c r="H64" s="92"/>
      <c r="I64" s="93"/>
      <c r="J64" s="93"/>
      <c r="K64" s="94"/>
      <c r="L64" s="94"/>
      <c r="M64" s="129"/>
      <c r="N64" s="15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6" ht="15.6">
      <c r="A65" s="22"/>
      <c r="B65" s="13" t="s">
        <v>105</v>
      </c>
      <c r="C65" s="96"/>
      <c r="D65" s="96"/>
      <c r="E65" s="96"/>
      <c r="F65" s="95"/>
      <c r="G65" s="95"/>
      <c r="H65" s="95"/>
      <c r="I65" s="97"/>
      <c r="J65" s="97"/>
      <c r="K65" s="96"/>
      <c r="L65" s="96"/>
      <c r="M65" s="122"/>
      <c r="N65" s="19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6" ht="15.6">
      <c r="A66" s="22"/>
      <c r="B66" s="35" t="s">
        <v>106</v>
      </c>
      <c r="C66" s="5" t="s">
        <v>107</v>
      </c>
      <c r="D66" s="80">
        <v>68.479452054794521</v>
      </c>
      <c r="E66" s="51">
        <f t="shared" ref="E66:E68" si="22">D66*$P$5</f>
        <v>6163.1506849315065</v>
      </c>
      <c r="F66" s="5">
        <v>0</v>
      </c>
      <c r="G66" s="46">
        <f>E66*12</f>
        <v>73957.808219178085</v>
      </c>
      <c r="H66" s="47">
        <f t="shared" ref="H66:H68" si="23">G66*F66</f>
        <v>0</v>
      </c>
      <c r="I66" s="55">
        <f t="shared" ref="I66:I68" si="24">E66*12</f>
        <v>73957.808219178085</v>
      </c>
      <c r="J66" s="56"/>
      <c r="K66" s="5" t="str">
        <f>IF($P$8=1,"Monthly",IF($P$8=3,"Quarterly",IF($P$8=6,"Half Yearly",IF($P$8=12,"Annually"))))</f>
        <v>Annually</v>
      </c>
      <c r="L66" s="5"/>
      <c r="M66" s="127"/>
      <c r="N66" s="7" t="s">
        <v>108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6" ht="15.6">
      <c r="A67" s="22"/>
      <c r="B67" s="35" t="s">
        <v>109</v>
      </c>
      <c r="C67" s="5" t="s">
        <v>107</v>
      </c>
      <c r="D67" s="80">
        <v>178.06849315068493</v>
      </c>
      <c r="E67" s="51">
        <f t="shared" si="22"/>
        <v>16026.164383561643</v>
      </c>
      <c r="F67" s="5">
        <v>0</v>
      </c>
      <c r="G67" s="46">
        <f>E67*12</f>
        <v>192313.97260273973</v>
      </c>
      <c r="H67" s="47">
        <f t="shared" si="23"/>
        <v>0</v>
      </c>
      <c r="I67" s="55">
        <f t="shared" si="24"/>
        <v>192313.97260273973</v>
      </c>
      <c r="J67" s="56"/>
      <c r="K67" s="5" t="str">
        <f>IF($P$8=1,"Monthly",IF($P$8=3,"Quarterly",IF($P$8=6,"Half Yearly",IF($P$8=12,"Annually"))))</f>
        <v>Annually</v>
      </c>
      <c r="L67" s="5"/>
      <c r="M67" s="127"/>
      <c r="N67" s="7" t="s">
        <v>110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6" ht="15.6">
      <c r="A68" s="22"/>
      <c r="B68" s="35" t="s">
        <v>111</v>
      </c>
      <c r="C68" s="5" t="s">
        <v>107</v>
      </c>
      <c r="D68" s="80">
        <v>342.45205479452056</v>
      </c>
      <c r="E68" s="51">
        <f t="shared" si="22"/>
        <v>30820.68493150685</v>
      </c>
      <c r="F68" s="5">
        <v>0</v>
      </c>
      <c r="G68" s="46">
        <f>E68*12</f>
        <v>369848.21917808219</v>
      </c>
      <c r="H68" s="47">
        <f t="shared" si="23"/>
        <v>0</v>
      </c>
      <c r="I68" s="55">
        <f t="shared" si="24"/>
        <v>369848.21917808219</v>
      </c>
      <c r="J68" s="56"/>
      <c r="K68" s="5" t="str">
        <f>IF($P$8=1,"Monthly",IF($P$8=3,"Quarterly",IF($P$8=6,"Half Yearly",IF($P$8=12,"Annually"))))</f>
        <v>Annually</v>
      </c>
      <c r="L68" s="5"/>
      <c r="M68" s="127"/>
      <c r="N68" s="7" t="s">
        <v>112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6" ht="15.6">
      <c r="A69" s="22"/>
      <c r="B69" s="35" t="s">
        <v>113</v>
      </c>
      <c r="C69" s="5" t="s">
        <v>107</v>
      </c>
      <c r="D69" s="81"/>
      <c r="E69" s="5" t="s">
        <v>114</v>
      </c>
      <c r="F69" s="5">
        <v>0</v>
      </c>
      <c r="G69" s="36" t="s">
        <v>114</v>
      </c>
      <c r="H69" s="47"/>
      <c r="I69" s="55"/>
      <c r="J69" s="56"/>
      <c r="K69" s="5" t="str">
        <f>IF($P$8=1,"Monthly",IF($P$8=3,"Quarterly",IF($P$8=6,"Half Yearly",IF($P$8=12,"Annually"))))</f>
        <v>Annually</v>
      </c>
      <c r="L69" s="5"/>
      <c r="M69" s="127"/>
      <c r="N69" s="7" t="s">
        <v>115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6" ht="15.6">
      <c r="A70" s="22"/>
      <c r="B70" s="11"/>
      <c r="C70" s="94"/>
      <c r="D70" s="94"/>
      <c r="E70" s="94"/>
      <c r="F70" s="92"/>
      <c r="G70" s="92"/>
      <c r="H70" s="92"/>
      <c r="I70" s="93"/>
      <c r="J70" s="93"/>
      <c r="K70" s="94"/>
      <c r="L70" s="94"/>
      <c r="M70" s="129"/>
      <c r="N70" s="15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6" ht="15.6">
      <c r="A71" s="22"/>
      <c r="B71" s="38"/>
      <c r="C71" s="94"/>
      <c r="D71" s="94"/>
      <c r="E71" s="94"/>
      <c r="F71" s="100"/>
      <c r="G71" s="94"/>
      <c r="H71" s="94"/>
      <c r="I71" s="107"/>
      <c r="J71" s="107"/>
      <c r="K71" s="94"/>
      <c r="L71" s="94"/>
      <c r="M71" s="129"/>
      <c r="N71" s="111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6" ht="15.6">
      <c r="A72" s="22"/>
      <c r="B72" s="13" t="s">
        <v>116</v>
      </c>
      <c r="C72" s="108"/>
      <c r="D72" s="108"/>
      <c r="E72" s="108"/>
      <c r="F72" s="112"/>
      <c r="G72" s="108"/>
      <c r="H72" s="108"/>
      <c r="I72" s="113"/>
      <c r="J72" s="113"/>
      <c r="K72" s="108"/>
      <c r="L72" s="108"/>
      <c r="M72" s="130"/>
      <c r="N72" s="114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6" ht="15.6">
      <c r="A73" s="22"/>
      <c r="B73" s="35" t="s">
        <v>117</v>
      </c>
      <c r="C73" s="5" t="s">
        <v>37</v>
      </c>
      <c r="D73" s="5">
        <v>0.8</v>
      </c>
      <c r="E73" s="5">
        <f t="shared" ref="E73" si="25">D73*$P$5</f>
        <v>72</v>
      </c>
      <c r="F73" s="36">
        <v>0</v>
      </c>
      <c r="G73" s="5">
        <v>0</v>
      </c>
      <c r="H73" s="47">
        <f t="shared" ref="H73" si="26">G73*F73</f>
        <v>0</v>
      </c>
      <c r="I73" s="55">
        <f>E73*12</f>
        <v>864</v>
      </c>
      <c r="J73" s="56"/>
      <c r="K73" s="5"/>
      <c r="L73" s="5"/>
      <c r="M73" s="127"/>
      <c r="N73" s="37" t="e">
        <f>#REF!-(#REF!*$P$9%)</f>
        <v>#REF!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6" ht="15.6">
      <c r="A74" s="22"/>
      <c r="B74" s="38"/>
      <c r="C74" s="94"/>
      <c r="D74" s="94"/>
      <c r="E74" s="94"/>
      <c r="F74" s="100"/>
      <c r="G74" s="94"/>
      <c r="H74" s="94"/>
      <c r="I74" s="107"/>
      <c r="J74" s="107"/>
      <c r="K74" s="94"/>
      <c r="L74" s="94"/>
      <c r="M74" s="129"/>
      <c r="N74" s="111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6" ht="15.6">
      <c r="A75" s="22"/>
      <c r="B75" s="38"/>
      <c r="C75" s="94"/>
      <c r="D75" s="94"/>
      <c r="E75" s="94"/>
      <c r="F75" s="100"/>
      <c r="G75" s="94"/>
      <c r="H75" s="94"/>
      <c r="I75" s="107"/>
      <c r="J75" s="107"/>
      <c r="K75" s="94"/>
      <c r="L75" s="94"/>
      <c r="M75" s="129"/>
      <c r="N75" s="111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6" ht="15.6">
      <c r="A76" s="22"/>
      <c r="B76" s="60" t="s">
        <v>118</v>
      </c>
      <c r="C76" s="60"/>
      <c r="D76" s="60"/>
      <c r="E76" s="60"/>
      <c r="F76" s="60"/>
      <c r="G76" s="60"/>
      <c r="H76" s="58">
        <f>SUM(H15:H74)</f>
        <v>27291.599999999999</v>
      </c>
      <c r="I76" s="55">
        <f t="shared" ref="I76:I78" si="27">E76*12</f>
        <v>0</v>
      </c>
      <c r="J76" s="58">
        <f>SUM(J15:J74)</f>
        <v>28728</v>
      </c>
      <c r="K76" s="50"/>
      <c r="L76" s="50"/>
      <c r="M76" s="125">
        <v>657</v>
      </c>
      <c r="N76" s="45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6" ht="15.6">
      <c r="A77" s="22"/>
      <c r="B77" s="57" t="s">
        <v>119</v>
      </c>
      <c r="C77" s="59" t="s">
        <v>37</v>
      </c>
      <c r="D77" s="59"/>
      <c r="E77" s="59">
        <v>0</v>
      </c>
      <c r="F77" s="59">
        <v>34</v>
      </c>
      <c r="G77" s="59"/>
      <c r="H77" s="59">
        <f>E77*F77</f>
        <v>0</v>
      </c>
      <c r="I77" s="55">
        <f t="shared" si="27"/>
        <v>0</v>
      </c>
      <c r="J77" s="59">
        <f>E77*F77</f>
        <v>0</v>
      </c>
      <c r="K77" s="20"/>
      <c r="L77" s="20"/>
      <c r="M77" s="125">
        <v>0</v>
      </c>
      <c r="N77" s="45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6" ht="15.6">
      <c r="A78" s="22"/>
      <c r="B78" s="57" t="s">
        <v>120</v>
      </c>
      <c r="C78" s="59" t="s">
        <v>37</v>
      </c>
      <c r="D78" s="59"/>
      <c r="E78" s="59">
        <v>499</v>
      </c>
      <c r="F78" s="59">
        <v>0</v>
      </c>
      <c r="G78" s="59"/>
      <c r="H78" s="59">
        <f>E78*F78</f>
        <v>0</v>
      </c>
      <c r="I78" s="55">
        <f t="shared" si="27"/>
        <v>5988</v>
      </c>
      <c r="J78" s="59">
        <f>E78*F78</f>
        <v>0</v>
      </c>
      <c r="K78" s="20"/>
      <c r="L78" s="20"/>
      <c r="M78" s="20"/>
      <c r="N78" s="45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6" ht="15.6">
      <c r="A79" s="22"/>
      <c r="B79" s="140" t="s">
        <v>22</v>
      </c>
      <c r="C79" s="141"/>
      <c r="D79" s="89" t="s">
        <v>24</v>
      </c>
      <c r="E79" s="89" t="s">
        <v>23</v>
      </c>
      <c r="F79" s="89" t="s">
        <v>121</v>
      </c>
      <c r="G79" s="89" t="s">
        <v>26</v>
      </c>
      <c r="H79" s="89"/>
      <c r="I79" s="89"/>
      <c r="J79" s="89"/>
      <c r="K79" s="89"/>
      <c r="L79" s="89"/>
      <c r="M79" s="89"/>
      <c r="N79" s="10" t="s">
        <v>122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6">
      <c r="A80" s="22"/>
      <c r="B80" s="11"/>
      <c r="C80" s="115"/>
      <c r="D80" s="115"/>
      <c r="E80" s="94"/>
      <c r="F80" s="94"/>
      <c r="G80" s="92"/>
      <c r="H80" s="92"/>
      <c r="I80" s="92"/>
      <c r="J80" s="92"/>
      <c r="K80" s="92"/>
      <c r="L80" s="92"/>
      <c r="M80" s="92"/>
      <c r="N80" s="116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6">
      <c r="A81" s="22"/>
      <c r="B81" s="13" t="s">
        <v>123</v>
      </c>
      <c r="C81" s="117"/>
      <c r="D81" s="117"/>
      <c r="E81" s="96"/>
      <c r="F81" s="96"/>
      <c r="G81" s="95"/>
      <c r="H81" s="95"/>
      <c r="I81" s="95"/>
      <c r="J81" s="95"/>
      <c r="K81" s="95"/>
      <c r="L81" s="95"/>
      <c r="M81" s="95"/>
      <c r="N81" s="118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6">
      <c r="A82" s="22"/>
      <c r="B82" s="142" t="s">
        <v>124</v>
      </c>
      <c r="C82" s="142"/>
      <c r="D82" s="48">
        <v>0.68493150684931503</v>
      </c>
      <c r="E82" s="5" t="s">
        <v>88</v>
      </c>
      <c r="F82" s="82">
        <v>199</v>
      </c>
      <c r="G82" s="5">
        <v>0</v>
      </c>
      <c r="H82" s="5"/>
      <c r="I82" s="55" t="e">
        <f t="shared" ref="I82:I88" si="28">E82*12</f>
        <v>#VALUE!</v>
      </c>
      <c r="J82" s="5"/>
      <c r="K82" s="5"/>
      <c r="L82" s="5"/>
      <c r="M82" s="5"/>
      <c r="N82" s="6" t="e">
        <f>#REF!-(#REF!*#REF!%)</f>
        <v>#REF!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6">
      <c r="A83" s="22"/>
      <c r="B83" s="142" t="s">
        <v>125</v>
      </c>
      <c r="C83" s="142"/>
      <c r="D83" s="48">
        <v>10</v>
      </c>
      <c r="E83" s="5" t="s">
        <v>92</v>
      </c>
      <c r="F83" s="82">
        <f t="shared" ref="F83:F88" si="29">D83*$P$5</f>
        <v>900</v>
      </c>
      <c r="G83" s="5">
        <v>0</v>
      </c>
      <c r="H83" s="5"/>
      <c r="I83" s="55" t="e">
        <f t="shared" si="28"/>
        <v>#VALUE!</v>
      </c>
      <c r="J83" s="5"/>
      <c r="K83" s="5"/>
      <c r="L83" s="5"/>
      <c r="M83" s="5"/>
      <c r="N83" s="6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6">
      <c r="A84" s="22"/>
      <c r="B84" s="142" t="s">
        <v>126</v>
      </c>
      <c r="C84" s="142"/>
      <c r="D84" s="48">
        <v>10</v>
      </c>
      <c r="E84" s="5" t="s">
        <v>92</v>
      </c>
      <c r="F84" s="82">
        <f t="shared" ref="F84" si="30">D84*$P$5</f>
        <v>900</v>
      </c>
      <c r="G84" s="5">
        <v>0</v>
      </c>
      <c r="H84" s="5"/>
      <c r="I84" s="55" t="e">
        <f t="shared" si="28"/>
        <v>#VALUE!</v>
      </c>
      <c r="J84" s="5"/>
      <c r="K84" s="5"/>
      <c r="L84" s="5"/>
      <c r="M84" s="5"/>
      <c r="N84" s="6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6">
      <c r="A85" s="22"/>
      <c r="B85" s="142" t="s">
        <v>127</v>
      </c>
      <c r="C85" s="142"/>
      <c r="D85" s="48">
        <v>1.0136986301369864</v>
      </c>
      <c r="E85" s="5" t="s">
        <v>37</v>
      </c>
      <c r="F85" s="82">
        <f t="shared" si="29"/>
        <v>91.232876712328775</v>
      </c>
      <c r="G85" s="5">
        <v>0</v>
      </c>
      <c r="H85" s="5"/>
      <c r="I85" s="55" t="e">
        <f t="shared" si="28"/>
        <v>#VALUE!</v>
      </c>
      <c r="J85" s="5"/>
      <c r="K85" s="5"/>
      <c r="L85" s="5"/>
      <c r="M85" s="5"/>
      <c r="N85" s="6" t="e">
        <f>#REF!-(#REF!*#REF!%)</f>
        <v>#REF!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6">
      <c r="A86" s="22"/>
      <c r="B86" s="139" t="s">
        <v>128</v>
      </c>
      <c r="C86" s="139"/>
      <c r="D86" s="48">
        <v>8.1095890410958908</v>
      </c>
      <c r="E86" s="5" t="s">
        <v>37</v>
      </c>
      <c r="F86" s="82">
        <f t="shared" si="29"/>
        <v>729.8630136986302</v>
      </c>
      <c r="G86" s="5">
        <v>0</v>
      </c>
      <c r="H86" s="5"/>
      <c r="I86" s="55" t="e">
        <f t="shared" si="28"/>
        <v>#VALUE!</v>
      </c>
      <c r="J86" s="5"/>
      <c r="K86" s="5"/>
      <c r="L86" s="5"/>
      <c r="M86" s="5"/>
      <c r="N86" s="6" t="e">
        <f>#REF!-(#REF!*#REF!%)</f>
        <v>#REF!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6">
      <c r="A87" s="22"/>
      <c r="B87" s="137" t="s">
        <v>129</v>
      </c>
      <c r="C87" s="138"/>
      <c r="D87" s="48">
        <v>20.273972602739725</v>
      </c>
      <c r="E87" s="5" t="s">
        <v>37</v>
      </c>
      <c r="F87" s="82">
        <f t="shared" si="29"/>
        <v>1824.6575342465753</v>
      </c>
      <c r="G87" s="5">
        <v>0</v>
      </c>
      <c r="H87" s="5"/>
      <c r="I87" s="55" t="e">
        <f t="shared" si="28"/>
        <v>#VALUE!</v>
      </c>
      <c r="J87" s="5"/>
      <c r="K87" s="5"/>
      <c r="L87" s="5"/>
      <c r="M87" s="5"/>
      <c r="N87" s="6" t="e">
        <f>#REF!-(#REF!*#REF!%)</f>
        <v>#REF!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6">
      <c r="A88" s="22"/>
      <c r="B88" s="152" t="s">
        <v>130</v>
      </c>
      <c r="C88" s="152"/>
      <c r="D88" s="48">
        <v>15.205479452054794</v>
      </c>
      <c r="E88" s="5" t="s">
        <v>37</v>
      </c>
      <c r="F88" s="82">
        <f t="shared" si="29"/>
        <v>1368.4931506849314</v>
      </c>
      <c r="G88" s="5">
        <v>0</v>
      </c>
      <c r="H88" s="5"/>
      <c r="I88" s="55" t="e">
        <f t="shared" si="28"/>
        <v>#VALUE!</v>
      </c>
      <c r="J88" s="5"/>
      <c r="K88" s="5"/>
      <c r="L88" s="5"/>
      <c r="M88" s="5"/>
      <c r="N88" s="6" t="e">
        <f>#REF!-(#REF!*#REF!%)</f>
        <v>#REF!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6">
      <c r="A89" s="22"/>
      <c r="B89" s="11"/>
      <c r="C89" s="94"/>
      <c r="D89" s="94"/>
      <c r="E89" s="94"/>
      <c r="F89" s="119"/>
      <c r="G89" s="92"/>
      <c r="H89" s="92"/>
      <c r="I89" s="92"/>
      <c r="J89" s="92"/>
      <c r="K89" s="92"/>
      <c r="L89" s="92"/>
      <c r="M89" s="92"/>
      <c r="N89" s="116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6">
      <c r="A90" s="22"/>
      <c r="B90" s="151" t="s">
        <v>131</v>
      </c>
      <c r="C90" s="151"/>
      <c r="D90" s="151"/>
      <c r="E90" s="151"/>
      <c r="F90" s="151"/>
      <c r="G90" s="151"/>
      <c r="H90" s="151"/>
      <c r="I90" s="151"/>
      <c r="J90" s="151"/>
      <c r="K90" s="151"/>
      <c r="L90" s="50"/>
      <c r="M90" s="50"/>
      <c r="N90" s="21" t="e">
        <f>SUM(N80:N89)</f>
        <v>#REF!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6">
      <c r="A91" s="22"/>
      <c r="B91" s="11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16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6" ht="15.6">
      <c r="A92" s="22"/>
      <c r="B92" s="11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16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6" ht="15.6">
      <c r="A93" s="22"/>
      <c r="B93" s="65" t="s">
        <v>132</v>
      </c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7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6" ht="15.6">
      <c r="A94" s="22"/>
      <c r="B94" s="61" t="s">
        <v>133</v>
      </c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68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6" ht="15.6">
      <c r="A95" s="22"/>
      <c r="B95" s="61" t="s">
        <v>134</v>
      </c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68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6" ht="21" customHeight="1">
      <c r="A96" s="22"/>
      <c r="B96" s="61" t="s">
        <v>135</v>
      </c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68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6" ht="15.6">
      <c r="A97" s="22"/>
      <c r="B97" s="61" t="s">
        <v>136</v>
      </c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68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6" ht="15.6">
      <c r="A98" s="22"/>
      <c r="B98" s="61" t="s">
        <v>137</v>
      </c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68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6" ht="15.6">
      <c r="A99" s="22"/>
      <c r="B99" s="62" t="s">
        <v>138</v>
      </c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69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6" ht="30.95">
      <c r="A100" s="22"/>
      <c r="B100" s="63" t="s">
        <v>139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70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6" ht="15" customHeight="1">
      <c r="A101" s="22"/>
      <c r="B101" s="62" t="s">
        <v>140</v>
      </c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68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6" ht="15" customHeight="1">
      <c r="A102" s="22"/>
      <c r="B102" s="62" t="s">
        <v>141</v>
      </c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68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6" ht="15" customHeight="1">
      <c r="A103" s="22"/>
      <c r="B103" s="62" t="s">
        <v>142</v>
      </c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68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6" ht="15" customHeight="1">
      <c r="A104" s="22"/>
      <c r="B104" s="62" t="s">
        <v>143</v>
      </c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68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6" ht="56.45">
      <c r="A105" s="22"/>
      <c r="B105" s="64" t="s">
        <v>144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70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>
      <c r="A106" s="22"/>
      <c r="B106" s="22"/>
      <c r="C106" s="25"/>
      <c r="D106" s="25"/>
      <c r="E106" s="25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>
      <c r="A107" s="22"/>
      <c r="B107" s="22"/>
      <c r="C107" s="25"/>
      <c r="D107" s="25"/>
      <c r="E107" s="25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>
      <c r="A108" s="22"/>
      <c r="B108" s="22"/>
      <c r="C108" s="25"/>
      <c r="D108" s="25"/>
      <c r="E108" s="25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>
      <c r="A109" s="22"/>
      <c r="B109" s="22"/>
      <c r="C109" s="25"/>
      <c r="D109" s="25"/>
      <c r="E109" s="25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>
      <c r="A110" s="22"/>
      <c r="B110" s="22"/>
      <c r="C110" s="25"/>
      <c r="D110" s="25"/>
      <c r="E110" s="25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>
      <c r="A111" s="22"/>
      <c r="B111" s="22"/>
      <c r="C111" s="25"/>
      <c r="D111" s="25"/>
      <c r="E111" s="25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>
      <c r="A112" s="22"/>
      <c r="B112" s="22"/>
      <c r="C112" s="25"/>
      <c r="D112" s="25"/>
      <c r="E112" s="25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>
      <c r="A113" s="22"/>
      <c r="B113" s="22"/>
      <c r="C113" s="25"/>
      <c r="D113" s="25"/>
      <c r="E113" s="25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>
      <c r="A114" s="22"/>
      <c r="B114" s="22"/>
      <c r="C114" s="25"/>
      <c r="D114" s="25"/>
      <c r="E114" s="25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>
      <c r="A115" s="22"/>
      <c r="B115" s="22"/>
      <c r="C115" s="25"/>
      <c r="D115" s="25"/>
      <c r="E115" s="25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>
      <c r="A116" s="22"/>
      <c r="B116" s="22"/>
      <c r="C116" s="25"/>
      <c r="D116" s="25"/>
      <c r="E116" s="25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>
      <c r="A117" s="22"/>
      <c r="B117" s="22"/>
      <c r="C117" s="25"/>
      <c r="D117" s="25"/>
      <c r="E117" s="25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>
      <c r="A118" s="22"/>
      <c r="B118" s="22"/>
      <c r="C118" s="25"/>
      <c r="D118" s="25"/>
      <c r="E118" s="25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>
      <c r="A119" s="22"/>
      <c r="B119" s="22"/>
      <c r="C119" s="25"/>
      <c r="D119" s="25"/>
      <c r="E119" s="25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>
      <c r="A120" s="22"/>
      <c r="B120" s="22"/>
      <c r="C120" s="25"/>
      <c r="D120" s="25"/>
      <c r="E120" s="25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>
      <c r="A121" s="22"/>
      <c r="B121" s="22"/>
      <c r="C121" s="25"/>
      <c r="D121" s="25"/>
      <c r="E121" s="25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>
      <c r="A122" s="22"/>
      <c r="B122" s="22"/>
      <c r="C122" s="25"/>
      <c r="D122" s="25"/>
      <c r="E122" s="25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>
      <c r="A123" s="22"/>
      <c r="B123" s="22"/>
      <c r="C123" s="25"/>
      <c r="D123" s="25"/>
      <c r="E123" s="25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>
      <c r="A124" s="22"/>
      <c r="B124" s="22"/>
      <c r="C124" s="25"/>
      <c r="D124" s="25"/>
      <c r="E124" s="25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>
      <c r="A125" s="22"/>
      <c r="B125" s="22"/>
      <c r="C125" s="25"/>
      <c r="D125" s="25"/>
      <c r="E125" s="25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>
      <c r="A126" s="22"/>
      <c r="B126" s="22"/>
      <c r="C126" s="25"/>
      <c r="D126" s="25"/>
      <c r="E126" s="25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>
      <c r="A127" s="22"/>
      <c r="B127" s="22"/>
      <c r="C127" s="25"/>
      <c r="D127" s="25"/>
      <c r="E127" s="25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>
      <c r="A128" s="22"/>
      <c r="B128" s="22"/>
      <c r="C128" s="25"/>
      <c r="D128" s="25"/>
      <c r="E128" s="25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>
      <c r="A129" s="22"/>
      <c r="B129" s="22"/>
      <c r="C129" s="25"/>
      <c r="D129" s="25"/>
      <c r="E129" s="25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>
      <c r="A130" s="22"/>
      <c r="B130" s="22"/>
      <c r="C130" s="25"/>
      <c r="D130" s="25"/>
      <c r="E130" s="2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>
      <c r="A131" s="22"/>
      <c r="B131" s="22"/>
      <c r="C131" s="25"/>
      <c r="D131" s="25"/>
      <c r="E131" s="2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>
      <c r="A132" s="22"/>
      <c r="B132" s="22"/>
      <c r="C132" s="25"/>
      <c r="D132" s="25"/>
      <c r="E132" s="25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>
      <c r="A133" s="22"/>
      <c r="B133" s="22"/>
      <c r="C133" s="25"/>
      <c r="D133" s="25"/>
      <c r="E133" s="2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>
      <c r="A134" s="22"/>
      <c r="B134" s="22"/>
      <c r="C134" s="25"/>
      <c r="D134" s="25"/>
      <c r="E134" s="25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>
      <c r="A135" s="22"/>
      <c r="B135" s="22"/>
      <c r="C135" s="25"/>
      <c r="D135" s="25"/>
      <c r="E135" s="25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>
      <c r="A136" s="22"/>
      <c r="B136" s="22"/>
      <c r="C136" s="25"/>
      <c r="D136" s="25"/>
      <c r="E136" s="25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>
      <c r="A137" s="22"/>
      <c r="B137" s="22"/>
      <c r="C137" s="25"/>
      <c r="D137" s="25"/>
      <c r="E137" s="25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>
      <c r="A138" s="22"/>
      <c r="B138" s="22"/>
      <c r="C138" s="25"/>
      <c r="D138" s="25"/>
      <c r="E138" s="25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>
      <c r="A139" s="22"/>
      <c r="B139" s="22"/>
      <c r="C139" s="25"/>
      <c r="D139" s="25"/>
      <c r="E139" s="25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>
      <c r="A140" s="22"/>
      <c r="B140" s="22"/>
      <c r="C140" s="25"/>
      <c r="D140" s="25"/>
      <c r="E140" s="25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>
      <c r="A141" s="22"/>
      <c r="B141" s="22"/>
      <c r="C141" s="25"/>
      <c r="D141" s="25"/>
      <c r="E141" s="25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>
      <c r="A142" s="22"/>
      <c r="B142" s="22"/>
      <c r="C142" s="25"/>
      <c r="D142" s="25"/>
      <c r="E142" s="25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>
      <c r="A143" s="22"/>
      <c r="B143" s="22"/>
      <c r="C143" s="25"/>
      <c r="D143" s="25"/>
      <c r="E143" s="25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>
      <c r="A144" s="22"/>
      <c r="B144" s="22"/>
      <c r="C144" s="25"/>
      <c r="D144" s="25"/>
      <c r="E144" s="25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>
      <c r="A145" s="22"/>
      <c r="B145" s="22"/>
      <c r="C145" s="25"/>
      <c r="D145" s="25"/>
      <c r="E145" s="25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>
      <c r="A146" s="22"/>
      <c r="B146" s="22"/>
      <c r="C146" s="25"/>
      <c r="D146" s="25"/>
      <c r="E146" s="25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>
      <c r="A147" s="22"/>
      <c r="B147" s="22"/>
      <c r="C147" s="25"/>
      <c r="D147" s="25"/>
      <c r="E147" s="25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>
      <c r="A148" s="22"/>
      <c r="B148" s="22"/>
      <c r="C148" s="25"/>
      <c r="D148" s="25"/>
      <c r="E148" s="25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>
      <c r="A149" s="22"/>
      <c r="B149" s="22"/>
      <c r="C149" s="25"/>
      <c r="D149" s="25"/>
      <c r="E149" s="25"/>
      <c r="F149" s="22"/>
      <c r="G149" s="22"/>
      <c r="H149" s="22"/>
      <c r="I149" s="22"/>
      <c r="J149" s="22"/>
      <c r="K149" s="22"/>
      <c r="L149" s="22"/>
      <c r="M149" s="22"/>
      <c r="N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>
      <c r="A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>
      <c r="A151" s="22"/>
      <c r="S151" s="22"/>
      <c r="T151" s="22"/>
      <c r="U151" s="22"/>
      <c r="V151" s="22"/>
      <c r="W151" s="22"/>
      <c r="X151" s="22"/>
      <c r="Y151" s="22"/>
      <c r="Z151" s="22"/>
    </row>
    <row r="152" spans="1:26">
      <c r="A152" s="22"/>
    </row>
    <row r="153" spans="1:26">
      <c r="A153" s="22"/>
    </row>
    <row r="154" spans="1:26">
      <c r="A154" s="22"/>
    </row>
    <row r="155" spans="1:26">
      <c r="A155" s="22"/>
    </row>
    <row r="156" spans="1:26">
      <c r="A156" s="22"/>
    </row>
    <row r="157" spans="1:26">
      <c r="A157" s="22"/>
    </row>
    <row r="158" spans="1:26">
      <c r="A158" s="22"/>
    </row>
    <row r="159" spans="1:26">
      <c r="A159" s="22"/>
    </row>
    <row r="160" spans="1:26">
      <c r="A160" s="22"/>
    </row>
    <row r="161" spans="1:1">
      <c r="A161" s="22"/>
    </row>
    <row r="162" spans="1:1">
      <c r="A162" s="22"/>
    </row>
    <row r="163" spans="1:1">
      <c r="A163" s="22"/>
    </row>
    <row r="164" spans="1:1">
      <c r="A164" s="22"/>
    </row>
    <row r="165" spans="1:1">
      <c r="A165" s="22"/>
    </row>
    <row r="166" spans="1:1">
      <c r="A166" s="22"/>
    </row>
    <row r="167" spans="1:1">
      <c r="A167" s="22"/>
    </row>
    <row r="168" spans="1:1">
      <c r="A168" s="22"/>
    </row>
    <row r="169" spans="1:1">
      <c r="A169" s="22"/>
    </row>
    <row r="170" spans="1:1">
      <c r="A170" s="22"/>
    </row>
    <row r="171" spans="1:1">
      <c r="A171" s="22"/>
    </row>
    <row r="172" spans="1:1">
      <c r="A172" s="22"/>
    </row>
    <row r="173" spans="1:1">
      <c r="A173" s="22"/>
    </row>
    <row r="174" spans="1:1">
      <c r="A174" s="22"/>
    </row>
    <row r="175" spans="1:1">
      <c r="A175" s="22"/>
    </row>
    <row r="176" spans="1:1">
      <c r="A176" s="22"/>
    </row>
    <row r="177" spans="1:1">
      <c r="A177" s="22"/>
    </row>
    <row r="178" spans="1:1">
      <c r="A178" s="22"/>
    </row>
    <row r="179" spans="1:1">
      <c r="A179" s="22"/>
    </row>
    <row r="180" spans="1:1">
      <c r="A180" s="22"/>
    </row>
    <row r="181" spans="1:1">
      <c r="A181" s="22"/>
    </row>
    <row r="182" spans="1:1">
      <c r="A182" s="22"/>
    </row>
    <row r="183" spans="1:1">
      <c r="A183" s="22"/>
    </row>
    <row r="184" spans="1:1">
      <c r="A184" s="22"/>
    </row>
    <row r="185" spans="1:1">
      <c r="A185" s="22"/>
    </row>
    <row r="186" spans="1:1">
      <c r="A186" s="22"/>
    </row>
    <row r="187" spans="1:1">
      <c r="A187" s="22"/>
    </row>
    <row r="188" spans="1:1">
      <c r="A188" s="22"/>
    </row>
    <row r="189" spans="1:1">
      <c r="A189" s="22"/>
    </row>
    <row r="190" spans="1:1">
      <c r="A190" s="22"/>
    </row>
    <row r="191" spans="1:1">
      <c r="A191" s="22"/>
    </row>
    <row r="192" spans="1:1">
      <c r="A192" s="22"/>
    </row>
    <row r="193" spans="1:1">
      <c r="A193" s="22"/>
    </row>
    <row r="194" spans="1:1">
      <c r="A194" s="22"/>
    </row>
    <row r="195" spans="1:1">
      <c r="A195" s="22"/>
    </row>
    <row r="196" spans="1:1">
      <c r="A196" s="22"/>
    </row>
    <row r="197" spans="1:1">
      <c r="A197" s="22"/>
    </row>
    <row r="198" spans="1:1">
      <c r="A198" s="22"/>
    </row>
    <row r="199" spans="1:1">
      <c r="A199" s="22"/>
    </row>
    <row r="200" spans="1:1">
      <c r="A200" s="22"/>
    </row>
    <row r="201" spans="1:1">
      <c r="A201" s="22"/>
    </row>
    <row r="202" spans="1:1">
      <c r="A202" s="22"/>
    </row>
    <row r="203" spans="1:1">
      <c r="A203" s="22"/>
    </row>
    <row r="204" spans="1:1">
      <c r="A204" s="22"/>
    </row>
    <row r="205" spans="1:1">
      <c r="A205" s="22"/>
    </row>
    <row r="206" spans="1:1">
      <c r="A206" s="22"/>
    </row>
    <row r="207" spans="1:1">
      <c r="A207" s="22"/>
    </row>
    <row r="208" spans="1:1">
      <c r="A208" s="22"/>
    </row>
    <row r="209" spans="1:1">
      <c r="A209" s="22"/>
    </row>
    <row r="210" spans="1:1">
      <c r="A210" s="22"/>
    </row>
    <row r="211" spans="1:1">
      <c r="A211" s="22"/>
    </row>
    <row r="212" spans="1:1">
      <c r="A212" s="22"/>
    </row>
    <row r="213" spans="1:1">
      <c r="A213" s="22"/>
    </row>
    <row r="214" spans="1:1">
      <c r="A214" s="22"/>
    </row>
    <row r="215" spans="1:1">
      <c r="A215" s="22"/>
    </row>
    <row r="216" spans="1:1">
      <c r="A216" s="22"/>
    </row>
    <row r="217" spans="1:1">
      <c r="A217" s="22"/>
    </row>
  </sheetData>
  <mergeCells count="18">
    <mergeCell ref="B90:K90"/>
    <mergeCell ref="B88:C88"/>
    <mergeCell ref="B1:B6"/>
    <mergeCell ref="O2:P2"/>
    <mergeCell ref="C9:N9"/>
    <mergeCell ref="C10:N10"/>
    <mergeCell ref="B87:C87"/>
    <mergeCell ref="B86:C86"/>
    <mergeCell ref="B79:C79"/>
    <mergeCell ref="B82:C82"/>
    <mergeCell ref="B85:C85"/>
    <mergeCell ref="B83:C83"/>
    <mergeCell ref="B84:C84"/>
    <mergeCell ref="C1:K2"/>
    <mergeCell ref="C3:K3"/>
    <mergeCell ref="C4:K4"/>
    <mergeCell ref="C5:K5"/>
    <mergeCell ref="C6:K6"/>
  </mergeCells>
  <pageMargins left="0.13" right="0.08" top="1.85" bottom="0.75" header="0.3" footer="0.3"/>
  <pageSetup paperSize="9" scale="36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7ccbc-289b-4270-ae04-5292931ac304" xsi:nil="true"/>
    <lcf76f155ced4ddcb4097134ff3c332f xmlns="270a52b9-840b-4408-9342-83d2fcbe797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62D44A6443C419D40112B2555FBAB" ma:contentTypeVersion="11" ma:contentTypeDescription="Create a new document." ma:contentTypeScope="" ma:versionID="4022272bc32b456973d52b3b08ac0033">
  <xsd:schema xmlns:xsd="http://www.w3.org/2001/XMLSchema" xmlns:xs="http://www.w3.org/2001/XMLSchema" xmlns:p="http://schemas.microsoft.com/office/2006/metadata/properties" xmlns:ns2="270a52b9-840b-4408-9342-83d2fcbe797e" xmlns:ns3="3997ccbc-289b-4270-ae04-5292931ac304" targetNamespace="http://schemas.microsoft.com/office/2006/metadata/properties" ma:root="true" ma:fieldsID="831db70445a48b7b974bb8794dd45ae8" ns2:_="" ns3:_="">
    <xsd:import namespace="270a52b9-840b-4408-9342-83d2fcbe797e"/>
    <xsd:import namespace="3997ccbc-289b-4270-ae04-5292931ac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a52b9-840b-4408-9342-83d2fcbe7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a51d3a-a750-4965-a966-12d54834a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7ccbc-289b-4270-ae04-5292931ac3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0890fff-0920-4fe3-af70-c15e49fb5475}" ma:internalName="TaxCatchAll" ma:showField="CatchAllData" ma:web="3997ccbc-289b-4270-ae04-5292931ac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E2A4C5-F40D-4538-A06F-271D100D291C}"/>
</file>

<file path=customXml/itemProps2.xml><?xml version="1.0" encoding="utf-8"?>
<ds:datastoreItem xmlns:ds="http://schemas.openxmlformats.org/officeDocument/2006/customXml" ds:itemID="{F540E773-9A8C-402D-B346-A622ED3B97BF}"/>
</file>

<file path=customXml/itemProps3.xml><?xml version="1.0" encoding="utf-8"?>
<ds:datastoreItem xmlns:ds="http://schemas.openxmlformats.org/officeDocument/2006/customXml" ds:itemID="{7F18DCE8-BE75-4BB4-9B22-D7314D0E4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Khanna</dc:creator>
  <cp:keywords/>
  <dc:description/>
  <cp:lastModifiedBy/>
  <cp:revision/>
  <dcterms:created xsi:type="dcterms:W3CDTF">2018-12-04T10:19:31Z</dcterms:created>
  <dcterms:modified xsi:type="dcterms:W3CDTF">2026-04-16T09:47:41Z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0x0101009D662D44A6443C419D40112B2555FBAB</vt:lpwstr>
  </property>
  <property fmtid="{D5CDD505-2E9C-101B-9397-08002B2CF9AE}" pid="3" name="MediaServiceImageTags">
    <vt:lpwstr/>
  </property>
</Properties>
</file>